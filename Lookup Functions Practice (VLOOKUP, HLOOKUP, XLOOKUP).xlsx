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13_ncr:1_{391A1511-F35C-4054-86AE-2B0F3F87C320}" xr6:coauthVersionLast="47" xr6:coauthVersionMax="47" xr10:uidLastSave="{00000000-0000-0000-0000-000000000000}"/>
  <bookViews>
    <workbookView xWindow="-108" yWindow="-108" windowWidth="23256" windowHeight="12456" xr2:uid="{2A0CB5EC-5B9D-4D1B-9AB0-0F909BEE2D6A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G36" i="1"/>
  <c r="E19" i="2"/>
  <c r="F29" i="3"/>
  <c r="F23" i="3" l="1"/>
  <c r="F17" i="3"/>
  <c r="F11" i="3"/>
  <c r="F6" i="3"/>
  <c r="E25" i="2"/>
  <c r="E13" i="2"/>
  <c r="G42" i="1"/>
  <c r="G51" i="1"/>
  <c r="G29" i="1"/>
  <c r="G23" i="1"/>
  <c r="G18" i="1"/>
</calcChain>
</file>

<file path=xl/sharedStrings.xml><?xml version="1.0" encoding="utf-8"?>
<sst xmlns="http://schemas.openxmlformats.org/spreadsheetml/2006/main" count="108" uniqueCount="56">
  <si>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</si>
  <si>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</si>
  <si>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</si>
  <si>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</si>
  <si>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</si>
  <si>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</si>
  <si>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</si>
  <si>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</si>
  <si>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</si>
  <si>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</si>
  <si>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</si>
  <si>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</si>
  <si>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</si>
  <si>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</si>
  <si>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</si>
  <si>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</si>
  <si>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</si>
  <si>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</si>
  <si>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</si>
  <si>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</si>
  <si>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</si>
  <si>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</si>
  <si>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</si>
  <si>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</si>
  <si>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</si>
  <si>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</si>
  <si>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</si>
  <si>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</si>
  <si>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</si>
  <si>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</si>
  <si>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</si>
  <si>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</si>
  <si>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</si>
  <si>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VLOOKUP Tasks (1–6)</t>
  </si>
  <si>
    <t>Task:2Find the Department of employee with ID E103.</t>
  </si>
  <si>
    <t xml:space="preserve">             Task:3Find the Salary of employee Neha Singh using VLOOKUP.</t>
  </si>
  <si>
    <t xml:space="preserve">                           Task:1 Find the Name of employee using EmployeeID from Search_Input.</t>
  </si>
  <si>
    <t xml:space="preserve">                                                 Task:4Get the Location of employee E107.</t>
  </si>
  <si>
    <t>Task:5If EmployeeID is not found, display "Not Found".</t>
  </si>
  <si>
    <t>Task:6 Find the JoiningYear of employee E101.</t>
  </si>
  <si>
    <t>E109</t>
  </si>
  <si>
    <t>HLOOKUP Tasks (7–10)</t>
  </si>
  <si>
    <t>Bonus %</t>
  </si>
  <si>
    <t>Task 10:If department is invalid, display "No Bonus Data".</t>
  </si>
  <si>
    <t>Account</t>
  </si>
  <si>
    <t>XLOOKUP Tasks (11–15)</t>
  </si>
  <si>
    <t>Task 7:Find the Bonus % for IT department</t>
  </si>
  <si>
    <t>Task 8:Find the Bonus % for Finance department.</t>
  </si>
  <si>
    <t>Task 9: Calculate Bonus Amount for employee E104
(Bonus Amount = Salary × Bonus %).</t>
  </si>
  <si>
    <t>Task 11: Find Salary using EmployeeID.</t>
  </si>
  <si>
    <t>Task 12:Find Department using Employee Name.</t>
  </si>
  <si>
    <t>Task 13: Fetch Location of employee Rohit Verma.</t>
  </si>
  <si>
    <t>Rohit VermA</t>
  </si>
  <si>
    <t>Task 14:If EmployeeID = E999, return "Employee Not Found".</t>
  </si>
  <si>
    <t>Task 15:Find Bonus % using XLOOKUP from Department_Bonus (horizontal lookup).</t>
  </si>
  <si>
    <t xml:space="preserve">Salary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</si>
</sst>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2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right" vertical="center"/>
    </xf>
    <xf numFmtId="9" fontId="0" fillId="0" borderId="0" xfId="1" applyFont="1"/>
    <xf numFmtId="0" fontId="2" fillId="2" borderId="1" xfId="0" applyFont="1" applyFill="1" applyBorder="1" applyAlignment="1">
      <alignment horizontal="right" vertical="center" indent="1"/>
    </xf>
    <xf numFmtId="0" fontId="3" fillId="2" borderId="1" xfId="0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indent="1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5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0C4A-D8B9-40A1-AF37-39F1704C0AA7}">
  <dimension ref="E1:R51"/>
  <sheetViews>
    <sheetView tabSelected="1" zoomScale="112" zoomScaleNormal="112" workbookViewId="0">
      <selection activeCell="G18" sqref="G18"/>
    </sheetView>
  </sheetViews>
  <sheetFormatPr defaultRowHeight="14.4" x14ac:dyDescent="0.3"/>
  <cols>
    <col min="6" max="6" width="21.6640625" customWidth="1"/>
    <col min="7" max="7" width="19.88671875" customWidth="1"/>
    <col min="8" max="8" width="21.6640625" customWidth="1"/>
    <col min="9" max="9" width="14" customWidth="1"/>
    <col min="10" max="10" width="18.5546875" customWidth="1"/>
    <col min="11" max="11" width="27.33203125" customWidth="1"/>
    <col min="13" max="13" width="16.5546875" customWidth="1"/>
    <col min="17" max="17" width="16.5546875" customWidth="1"/>
    <col min="18" max="18" width="13.6640625" customWidth="1"/>
  </cols>
  <sheetData>
    <row r="1" spans="5:18" ht="32.4" x14ac:dyDescent="0.3">
      <c r="F1" s="18" t="s">
        <v>33</v>
      </c>
      <c r="G1" s="18"/>
      <c r="H1" s="18"/>
      <c r="I1" s="18"/>
      <c r="J1" s="18"/>
      <c r="K1" s="18"/>
      <c r="L1" s="18"/>
    </row>
    <row r="2" spans="5:18" ht="15" thickBot="1" x14ac:dyDescent="0.35"/>
    <row r="3" spans="5:18" ht="19.8" thickBot="1" x14ac:dyDescent="0.35">
      <c r="F3" s="13" t="s">
        <v>0</v>
      </c>
      <c r="G3" s="2" t="s">
        <v>1</v>
      </c>
      <c r="H3" s="2" t="s">
        <v>2</v>
      </c>
      <c r="I3" s="2" t="s">
        <v>3</v>
      </c>
      <c r="J3" s="1" t="s">
        <v>4</v>
      </c>
      <c r="K3" s="1" t="s">
        <v>5</v>
      </c>
    </row>
    <row r="4" spans="5:18" ht="19.8" thickBot="1" x14ac:dyDescent="0.35">
      <c r="F4" s="14" t="s">
        <v>6</v>
      </c>
      <c r="G4" s="4" t="s">
        <v>7</v>
      </c>
      <c r="H4" s="4" t="s">
        <v>8</v>
      </c>
      <c r="I4" s="4" t="s">
        <v>9</v>
      </c>
      <c r="J4" s="3">
        <v>45000</v>
      </c>
      <c r="K4" s="3">
        <v>2019</v>
      </c>
    </row>
    <row r="5" spans="5:18" ht="19.8" thickBot="1" x14ac:dyDescent="0.35">
      <c r="F5" s="15" t="s">
        <v>10</v>
      </c>
      <c r="G5" s="6" t="s">
        <v>11</v>
      </c>
      <c r="H5" s="6" t="s">
        <v>12</v>
      </c>
      <c r="I5" s="6" t="s">
        <v>13</v>
      </c>
      <c r="J5" s="5">
        <v>52000</v>
      </c>
      <c r="K5" s="5">
        <v>2018</v>
      </c>
      <c r="M5" s="8" t="s">
        <v>2</v>
      </c>
      <c r="N5" s="9" t="s">
        <v>8</v>
      </c>
      <c r="O5" s="9" t="s">
        <v>12</v>
      </c>
      <c r="P5" s="9" t="s">
        <v>16</v>
      </c>
      <c r="Q5" s="9" t="s">
        <v>20</v>
      </c>
      <c r="R5" s="9" t="s">
        <v>24</v>
      </c>
    </row>
    <row r="6" spans="5:18" ht="19.8" thickBot="1" x14ac:dyDescent="0.35">
      <c r="F6" s="14" t="s">
        <v>14</v>
      </c>
      <c r="G6" s="4" t="s">
        <v>15</v>
      </c>
      <c r="H6" s="4" t="s">
        <v>16</v>
      </c>
      <c r="I6" s="4" t="s">
        <v>17</v>
      </c>
      <c r="J6" s="3">
        <v>65000</v>
      </c>
      <c r="K6" s="3">
        <v>2020</v>
      </c>
      <c r="M6" s="10" t="s">
        <v>42</v>
      </c>
      <c r="N6" s="11">
        <v>0.1</v>
      </c>
      <c r="O6" s="11">
        <v>0.08</v>
      </c>
      <c r="P6" s="11">
        <v>0.12</v>
      </c>
      <c r="Q6" s="11">
        <v>0.15</v>
      </c>
      <c r="R6" s="11">
        <v>0.09</v>
      </c>
    </row>
    <row r="7" spans="5:18" ht="19.8" thickBot="1" x14ac:dyDescent="0.35">
      <c r="F7" s="15" t="s">
        <v>18</v>
      </c>
      <c r="G7" s="6" t="s">
        <v>19</v>
      </c>
      <c r="H7" s="6" t="s">
        <v>20</v>
      </c>
      <c r="I7" s="6" t="s">
        <v>21</v>
      </c>
      <c r="J7" s="5">
        <v>58000</v>
      </c>
      <c r="K7" s="5">
        <v>2017</v>
      </c>
    </row>
    <row r="8" spans="5:18" ht="19.8" thickBot="1" x14ac:dyDescent="0.35">
      <c r="F8" s="14" t="s">
        <v>22</v>
      </c>
      <c r="G8" s="4" t="s">
        <v>23</v>
      </c>
      <c r="H8" s="4" t="s">
        <v>24</v>
      </c>
      <c r="I8" s="4" t="s">
        <v>9</v>
      </c>
      <c r="J8" s="3">
        <v>48000</v>
      </c>
      <c r="K8" s="3">
        <v>2021</v>
      </c>
    </row>
    <row r="9" spans="5:18" ht="19.8" thickBot="1" x14ac:dyDescent="0.35">
      <c r="F9" s="15" t="s">
        <v>25</v>
      </c>
      <c r="G9" s="6" t="s">
        <v>26</v>
      </c>
      <c r="H9" s="6" t="s">
        <v>16</v>
      </c>
      <c r="I9" s="6" t="s">
        <v>27</v>
      </c>
      <c r="J9" s="5">
        <v>62000</v>
      </c>
      <c r="K9" s="5">
        <v>2019</v>
      </c>
    </row>
    <row r="10" spans="5:18" ht="19.8" thickBot="1" x14ac:dyDescent="0.35">
      <c r="F10" s="14" t="s">
        <v>28</v>
      </c>
      <c r="G10" s="4" t="s">
        <v>29</v>
      </c>
      <c r="H10" s="4" t="s">
        <v>8</v>
      </c>
      <c r="I10" s="4" t="s">
        <v>30</v>
      </c>
      <c r="J10" s="3">
        <v>47000</v>
      </c>
      <c r="K10" s="3">
        <v>2020</v>
      </c>
    </row>
    <row r="11" spans="5:18" ht="19.8" thickBot="1" x14ac:dyDescent="0.35">
      <c r="F11" s="15" t="s">
        <v>31</v>
      </c>
      <c r="G11" s="6" t="s">
        <v>32</v>
      </c>
      <c r="H11" s="6" t="s">
        <v>12</v>
      </c>
      <c r="I11" s="6" t="s">
        <v>17</v>
      </c>
      <c r="J11" s="5">
        <v>54000</v>
      </c>
      <c r="K11" s="5">
        <v>2016</v>
      </c>
    </row>
    <row r="15" spans="5:18" x14ac:dyDescent="0.3">
      <c r="E15" s="16" t="s">
        <v>36</v>
      </c>
      <c r="F15" s="17"/>
      <c r="G15" s="17"/>
      <c r="H15" s="17"/>
      <c r="I15" s="17"/>
      <c r="J15" s="17"/>
    </row>
    <row r="16" spans="5:18" ht="15" thickBot="1" x14ac:dyDescent="0.35"/>
    <row r="17" spans="5:10" ht="19.8" thickBot="1" x14ac:dyDescent="0.35">
      <c r="F17" s="7" t="s">
        <v>0</v>
      </c>
      <c r="G17" s="7" t="s">
        <v>1</v>
      </c>
    </row>
    <row r="18" spans="5:10" x14ac:dyDescent="0.3">
      <c r="F18" t="s">
        <v>6</v>
      </c>
      <c r="G18" t="str">
        <f>VLOOKUP(F18,F3:K11,2,0)</f>
        <v>Rahul Sharma</v>
      </c>
    </row>
    <row r="20" spans="5:10" x14ac:dyDescent="0.3">
      <c r="E20" s="16" t="s">
        <v>34</v>
      </c>
      <c r="F20" s="17"/>
      <c r="G20" s="17"/>
      <c r="H20" s="17"/>
      <c r="I20" s="17"/>
      <c r="J20" s="17"/>
    </row>
    <row r="21" spans="5:10" ht="15" thickBot="1" x14ac:dyDescent="0.35"/>
    <row r="22" spans="5:10" ht="19.8" thickBot="1" x14ac:dyDescent="0.35">
      <c r="F22" s="1" t="s">
        <v>0</v>
      </c>
      <c r="G22" s="2" t="s">
        <v>2</v>
      </c>
    </row>
    <row r="23" spans="5:10" ht="19.8" thickBot="1" x14ac:dyDescent="0.35">
      <c r="F23" s="2" t="s">
        <v>14</v>
      </c>
      <c r="G23" s="1" t="str">
        <f>VLOOKUP(F23,F3:K11,3,0)</f>
        <v>IT</v>
      </c>
    </row>
    <row r="25" spans="5:10" x14ac:dyDescent="0.3">
      <c r="E25" s="16" t="s">
        <v>35</v>
      </c>
      <c r="F25" s="17"/>
      <c r="G25" s="17"/>
      <c r="H25" s="17"/>
      <c r="I25" s="17"/>
      <c r="J25" s="17"/>
    </row>
    <row r="27" spans="5:10" ht="15" thickBot="1" x14ac:dyDescent="0.35"/>
    <row r="28" spans="5:10" ht="19.8" thickBot="1" x14ac:dyDescent="0.35">
      <c r="F28" s="2" t="s">
        <v>1</v>
      </c>
      <c r="G28" s="1" t="s">
        <v>4</v>
      </c>
    </row>
    <row r="29" spans="5:10" ht="19.8" thickBot="1" x14ac:dyDescent="0.35">
      <c r="F29" s="6" t="s">
        <v>19</v>
      </c>
      <c r="G29" s="6">
        <f>VLOOKUP(F29,G3:K11,4,0)</f>
        <v>58000</v>
      </c>
    </row>
    <row r="32" spans="5:10" x14ac:dyDescent="0.3">
      <c r="E32" s="19" t="s">
        <v>37</v>
      </c>
      <c r="F32" s="20"/>
      <c r="G32" s="20"/>
      <c r="H32" s="20"/>
      <c r="I32" s="20"/>
      <c r="J32" s="20"/>
    </row>
    <row r="34" spans="5:10" ht="15" thickBot="1" x14ac:dyDescent="0.35"/>
    <row r="35" spans="5:10" ht="19.8" thickBot="1" x14ac:dyDescent="0.35">
      <c r="F35" s="1" t="s">
        <v>0</v>
      </c>
      <c r="G35" s="2" t="s">
        <v>3</v>
      </c>
    </row>
    <row r="36" spans="5:10" x14ac:dyDescent="0.3">
      <c r="F36" t="s">
        <v>28</v>
      </c>
      <c r="G36" t="str">
        <f>VLOOKUP(F36,F3:K11,4,0)</f>
        <v>Hyderabad</v>
      </c>
    </row>
    <row r="39" spans="5:10" x14ac:dyDescent="0.3">
      <c r="E39" s="16" t="s">
        <v>38</v>
      </c>
      <c r="F39" s="17"/>
      <c r="G39" s="17"/>
      <c r="H39" s="17"/>
      <c r="I39" s="17"/>
      <c r="J39" s="17"/>
    </row>
    <row r="40" spans="5:10" ht="15" thickBot="1" x14ac:dyDescent="0.35"/>
    <row r="41" spans="5:10" ht="19.8" thickBot="1" x14ac:dyDescent="0.35">
      <c r="F41" s="1" t="s">
        <v>0</v>
      </c>
      <c r="G41" s="2" t="s">
        <v>1</v>
      </c>
    </row>
    <row r="42" spans="5:10" x14ac:dyDescent="0.3">
      <c r="F42" t="s">
        <v>40</v>
      </c>
      <c r="G42" t="str">
        <f>IFERROR(VLOOKUP(F42,F3:K11,2,0),"Not Found")</f>
        <v>Not Found</v>
      </c>
    </row>
    <row r="46" spans="5:10" x14ac:dyDescent="0.3">
      <c r="E46" s="16" t="s">
        <v>39</v>
      </c>
      <c r="F46" s="17"/>
      <c r="G46" s="17"/>
      <c r="H46" s="17"/>
      <c r="I46" s="17"/>
      <c r="J46" s="17"/>
    </row>
    <row r="48" spans="5:10" ht="15" thickBot="1" x14ac:dyDescent="0.35"/>
    <row r="49" spans="6:7" ht="19.8" thickBot="1" x14ac:dyDescent="0.35">
      <c r="F49" s="1" t="s">
        <v>0</v>
      </c>
      <c r="G49" s="1" t="s">
        <v>5</v>
      </c>
    </row>
    <row r="51" spans="6:7" x14ac:dyDescent="0.3">
      <c r="F51" t="s">
        <v>6</v>
      </c>
      <c r="G51">
        <f>VLOOKUP(F51,F3:K11,6,0)</f>
        <v>2019</v>
      </c>
    </row>
  </sheetData>
  <mergeCells count="7">
    <mergeCell ref="E39:J39"/>
    <mergeCell ref="E46:J46"/>
    <mergeCell ref="F1:L1"/>
    <mergeCell ref="E15:J15"/>
    <mergeCell ref="E20:J20"/>
    <mergeCell ref="E25:J25"/>
    <mergeCell ref="E32:J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EA8-731A-4360-B232-791C16A58515}">
  <dimension ref="D2:N25"/>
  <sheetViews>
    <sheetView topLeftCell="C1" zoomScale="131" zoomScaleNormal="131" workbookViewId="0">
      <selection activeCell="E8" sqref="E8"/>
    </sheetView>
  </sheetViews>
  <sheetFormatPr defaultRowHeight="14.4" x14ac:dyDescent="0.3"/>
  <cols>
    <col min="4" max="4" width="17.5546875" customWidth="1"/>
    <col min="5" max="5" width="15" customWidth="1"/>
    <col min="6" max="6" width="16.44140625" customWidth="1"/>
    <col min="7" max="7" width="17" customWidth="1"/>
    <col min="8" max="8" width="10.6640625" customWidth="1"/>
    <col min="9" max="9" width="12.33203125" customWidth="1"/>
    <col min="11" max="11" width="14.109375" customWidth="1"/>
    <col min="12" max="12" width="15" customWidth="1"/>
    <col min="16" max="16" width="13.33203125" customWidth="1"/>
    <col min="17" max="17" width="13" customWidth="1"/>
  </cols>
  <sheetData>
    <row r="2" spans="4:14" ht="23.4" x14ac:dyDescent="0.45">
      <c r="E2" s="23" t="s">
        <v>41</v>
      </c>
      <c r="F2" s="21"/>
      <c r="G2" s="21"/>
      <c r="H2" s="21"/>
      <c r="I2" s="21"/>
      <c r="J2" s="21"/>
      <c r="K2" s="21"/>
      <c r="L2" s="21"/>
      <c r="M2" s="21"/>
      <c r="N2" s="21"/>
    </row>
    <row r="5" spans="4:14" x14ac:dyDescent="0.3">
      <c r="D5" s="21" t="s">
        <v>46</v>
      </c>
      <c r="E5" s="21"/>
      <c r="F5" s="21"/>
      <c r="G5" s="21"/>
    </row>
    <row r="6" spans="4:14" ht="15" thickBot="1" x14ac:dyDescent="0.35"/>
    <row r="7" spans="4:14" ht="19.8" thickBot="1" x14ac:dyDescent="0.35">
      <c r="D7" s="8" t="s">
        <v>2</v>
      </c>
      <c r="E7" s="10" t="s">
        <v>42</v>
      </c>
    </row>
    <row r="8" spans="4:14" x14ac:dyDescent="0.3">
      <c r="D8" t="s">
        <v>16</v>
      </c>
      <c r="E8" s="12">
        <f>HLOOKUP(D8,VLOOKUP!P5:P6,2,0)</f>
        <v>0.12</v>
      </c>
    </row>
    <row r="11" spans="4:14" ht="15" thickBot="1" x14ac:dyDescent="0.35">
      <c r="D11" s="21" t="s">
        <v>47</v>
      </c>
      <c r="E11" s="21"/>
      <c r="F11" s="21"/>
      <c r="G11" s="21"/>
    </row>
    <row r="12" spans="4:14" ht="19.8" thickBot="1" x14ac:dyDescent="0.35">
      <c r="D12" s="8" t="s">
        <v>2</v>
      </c>
      <c r="E12" s="10" t="s">
        <v>42</v>
      </c>
    </row>
    <row r="13" spans="4:14" x14ac:dyDescent="0.3">
      <c r="D13" t="s">
        <v>20</v>
      </c>
      <c r="E13" s="12">
        <f>HLOOKUP(D13,VLOOKUP!M5:R6,2,0)</f>
        <v>0.15</v>
      </c>
    </row>
    <row r="16" spans="4:14" x14ac:dyDescent="0.3">
      <c r="D16" s="22" t="s">
        <v>48</v>
      </c>
      <c r="E16" s="21"/>
      <c r="F16" s="21"/>
      <c r="G16" s="21"/>
    </row>
    <row r="17" spans="4:7" ht="15" thickBot="1" x14ac:dyDescent="0.35">
      <c r="D17" s="21"/>
      <c r="E17" s="21"/>
      <c r="F17" s="21"/>
      <c r="G17" s="21"/>
    </row>
    <row r="18" spans="4:7" ht="19.8" thickBot="1" x14ac:dyDescent="0.35">
      <c r="D18" s="13" t="s">
        <v>0</v>
      </c>
      <c r="E18" t="s">
        <v>55</v>
      </c>
    </row>
    <row r="19" spans="4:7" x14ac:dyDescent="0.3">
      <c r="D19" t="s">
        <v>18</v>
      </c>
      <c r="E19">
        <f>58000*(HLOOKUP(VLOOKUP!H7,VLOOKUP!M5:R6,2,0))</f>
        <v>8700</v>
      </c>
    </row>
    <row r="23" spans="4:7" ht="15" thickBot="1" x14ac:dyDescent="0.35">
      <c r="D23" s="21" t="s">
        <v>43</v>
      </c>
      <c r="E23" s="21"/>
      <c r="F23" s="21"/>
      <c r="G23" s="21"/>
    </row>
    <row r="24" spans="4:7" ht="19.8" thickBot="1" x14ac:dyDescent="0.35">
      <c r="D24" s="8" t="s">
        <v>2</v>
      </c>
      <c r="E24" s="2" t="s">
        <v>1</v>
      </c>
    </row>
    <row r="25" spans="4:7" x14ac:dyDescent="0.3">
      <c r="D25" t="s">
        <v>44</v>
      </c>
      <c r="E25" t="str">
        <f>IFERROR(HLOOKUP(D25,VLOOKUP!M5:R6,2,0),"No Bouns Data")</f>
        <v>No Bouns Data</v>
      </c>
    </row>
  </sheetData>
  <mergeCells count="5">
    <mergeCell ref="D5:G5"/>
    <mergeCell ref="D11:G11"/>
    <mergeCell ref="D16:G17"/>
    <mergeCell ref="D23:G23"/>
    <mergeCell ref="E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DB86-9B3B-4B2A-B62C-D38109124C07}">
  <dimension ref="E2:J29"/>
  <sheetViews>
    <sheetView topLeftCell="C18" zoomScale="147" zoomScaleNormal="94" workbookViewId="0">
      <selection activeCell="F29" sqref="F29"/>
    </sheetView>
  </sheetViews>
  <sheetFormatPr defaultRowHeight="14.4" x14ac:dyDescent="0.3"/>
  <cols>
    <col min="4" max="4" width="10.44140625" customWidth="1"/>
    <col min="5" max="5" width="16.33203125" customWidth="1"/>
    <col min="6" max="6" width="17.33203125" customWidth="1"/>
    <col min="9" max="9" width="15.5546875" customWidth="1"/>
    <col min="11" max="11" width="16.6640625" customWidth="1"/>
    <col min="16" max="16" width="11.6640625" customWidth="1"/>
  </cols>
  <sheetData>
    <row r="2" spans="5:10" ht="23.4" x14ac:dyDescent="0.45">
      <c r="E2" s="23" t="s">
        <v>45</v>
      </c>
      <c r="F2" s="23"/>
      <c r="G2" s="23"/>
      <c r="H2" s="23"/>
      <c r="I2" s="23"/>
      <c r="J2" s="23"/>
    </row>
    <row r="4" spans="5:10" ht="15" thickBot="1" x14ac:dyDescent="0.35">
      <c r="E4" s="21" t="s">
        <v>49</v>
      </c>
      <c r="F4" s="21"/>
      <c r="G4" s="21"/>
      <c r="H4" s="21"/>
      <c r="I4" s="21"/>
    </row>
    <row r="5" spans="5:10" ht="19.8" thickBot="1" x14ac:dyDescent="0.35">
      <c r="E5" s="13" t="s">
        <v>0</v>
      </c>
      <c r="F5" s="1" t="s">
        <v>4</v>
      </c>
    </row>
    <row r="6" spans="5:10" x14ac:dyDescent="0.3">
      <c r="E6" t="s">
        <v>6</v>
      </c>
      <c r="F6">
        <f>_xlfn.XLOOKUP(E6,VLOOKUP!F3:F11,VLOOKUP!J3:J11)</f>
        <v>45000</v>
      </c>
    </row>
    <row r="9" spans="5:10" ht="15" thickBot="1" x14ac:dyDescent="0.35">
      <c r="E9" s="21" t="s">
        <v>50</v>
      </c>
      <c r="F9" s="21"/>
      <c r="G9" s="21"/>
      <c r="H9" s="21"/>
      <c r="I9" s="21"/>
    </row>
    <row r="10" spans="5:10" ht="19.8" thickBot="1" x14ac:dyDescent="0.35">
      <c r="E10" s="2" t="s">
        <v>1</v>
      </c>
      <c r="F10" s="7" t="s">
        <v>2</v>
      </c>
    </row>
    <row r="11" spans="5:10" x14ac:dyDescent="0.3">
      <c r="E11" t="s">
        <v>26</v>
      </c>
      <c r="F11" t="str">
        <f>_xlfn.XLOOKUP(XLOOKUP!E11,VLOOKUP!G3:G11,VLOOKUP!H3:H11)</f>
        <v>IT</v>
      </c>
    </row>
    <row r="15" spans="5:10" ht="15" thickBot="1" x14ac:dyDescent="0.35">
      <c r="E15" s="21" t="s">
        <v>51</v>
      </c>
      <c r="F15" s="21"/>
      <c r="G15" s="21"/>
      <c r="H15" s="21"/>
      <c r="I15" s="21"/>
    </row>
    <row r="16" spans="5:10" ht="19.8" thickBot="1" x14ac:dyDescent="0.35">
      <c r="E16" s="2" t="s">
        <v>1</v>
      </c>
      <c r="F16" s="2" t="s">
        <v>3</v>
      </c>
    </row>
    <row r="17" spans="5:9" x14ac:dyDescent="0.3">
      <c r="E17" t="s">
        <v>52</v>
      </c>
      <c r="F17" t="str">
        <f>_xlfn.XLOOKUP(E17,VLOOKUP!G3:G11,VLOOKUP!I3:I11)</f>
        <v>Bangalore</v>
      </c>
    </row>
    <row r="21" spans="5:9" ht="15" thickBot="1" x14ac:dyDescent="0.35">
      <c r="E21" s="21" t="s">
        <v>53</v>
      </c>
      <c r="F21" s="21"/>
      <c r="G21" s="21"/>
      <c r="H21" s="21"/>
      <c r="I21" s="21"/>
    </row>
    <row r="22" spans="5:9" ht="19.8" thickBot="1" x14ac:dyDescent="0.35">
      <c r="E22" s="13" t="s">
        <v>0</v>
      </c>
      <c r="F22" s="2" t="s">
        <v>1</v>
      </c>
    </row>
    <row r="23" spans="5:9" x14ac:dyDescent="0.3">
      <c r="E23" t="s">
        <v>6</v>
      </c>
      <c r="F23" t="str">
        <f>IFERROR(_xlfn.XLOOKUP(E23,VLOOKUP!F3:F11,VLOOKUP!G3:G11),"Employee Not Found")</f>
        <v>Rahul Sharma</v>
      </c>
    </row>
    <row r="27" spans="5:9" ht="15" thickBot="1" x14ac:dyDescent="0.35">
      <c r="E27" s="24" t="s">
        <v>54</v>
      </c>
      <c r="F27" s="24"/>
      <c r="G27" s="24"/>
      <c r="H27" s="24"/>
      <c r="I27" s="24"/>
    </row>
    <row r="28" spans="5:9" ht="19.8" thickBot="1" x14ac:dyDescent="0.35">
      <c r="E28" s="7" t="s">
        <v>2</v>
      </c>
      <c r="F28" s="10" t="s">
        <v>42</v>
      </c>
    </row>
    <row r="29" spans="5:9" x14ac:dyDescent="0.3">
      <c r="E29" t="s">
        <v>20</v>
      </c>
      <c r="F29" s="12">
        <f>_xlfn.XLOOKUP(E29,VLOOKUP!M5:R5,VLOOKUP!M6:R6)</f>
        <v>0.15</v>
      </c>
    </row>
  </sheetData>
  <mergeCells count="6">
    <mergeCell ref="E27:I27"/>
    <mergeCell ref="E2:J2"/>
    <mergeCell ref="E9:I9"/>
    <mergeCell ref="E15:I15"/>
    <mergeCell ref="E21:I21"/>
    <mergeCell ref="E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Patel Priyanshi</cp:lastModifiedBy>
  <dcterms:created xsi:type="dcterms:W3CDTF">2026-06-29T08:23:13Z</dcterms:created>
  <dcterms:modified xsi:type="dcterms:W3CDTF">2026-07-22T16:57:56Z</dcterms:modified>
</cp:coreProperties>
</file>