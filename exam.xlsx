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IYANSHI\Excel\"/>
    </mc:Choice>
  </mc:AlternateContent>
  <xr:revisionPtr revIDLastSave="0" documentId="13_ncr:1_{221BF24F-53F7-4CCC-B585-0AE8ED4A009B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Instructions" sheetId="1" r:id="rId1"/>
    <sheet name="Sales_Data" sheetId="2" r:id="rId2"/>
    <sheet name="Student_Marks" sheetId="4" r:id="rId3"/>
    <sheet name="Product_Master" sheetId="3" r:id="rId4"/>
    <sheet name="Questions" sheetId="5" r:id="rId5"/>
    <sheet name="Pivot Table 16" sheetId="11" r:id="rId6"/>
    <sheet name="Pivot table 18" sheetId="13" r:id="rId7"/>
    <sheet name="Pivot table 17" sheetId="12" r:id="rId8"/>
    <sheet name="Pivot table 19 " sheetId="10" r:id="rId9"/>
    <sheet name="Ans " sheetId="6" r:id="rId10"/>
  </sheets>
  <externalReferences>
    <externalReference r:id="rId11"/>
  </externalReferences>
  <definedNames>
    <definedName name="_xlnm._FilterDatabase" localSheetId="9" hidden="1">'Ans '!$A$211:$G$217</definedName>
  </definedName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92" i="6" l="1"/>
  <c r="H93" i="6"/>
  <c r="H94" i="6"/>
  <c r="H95" i="6"/>
  <c r="H96" i="6"/>
  <c r="H91" i="6"/>
  <c r="E109" i="6"/>
  <c r="B240" i="6"/>
  <c r="B241" i="6"/>
  <c r="B242" i="6"/>
  <c r="B243" i="6"/>
  <c r="B244" i="6"/>
  <c r="B239" i="6"/>
  <c r="B232" i="6"/>
  <c r="B179" i="6"/>
  <c r="H75" i="6"/>
  <c r="H76" i="6"/>
  <c r="H77" i="6"/>
  <c r="H78" i="6"/>
  <c r="H79" i="6"/>
  <c r="H74" i="6"/>
  <c r="H31" i="6"/>
  <c r="J31" i="6" s="1"/>
  <c r="K31" i="6" s="1"/>
  <c r="H30" i="6"/>
  <c r="J30" i="6" s="1"/>
  <c r="K30" i="6" s="1"/>
  <c r="H29" i="6"/>
  <c r="H28" i="6"/>
  <c r="J28" i="6" s="1"/>
  <c r="H27" i="6"/>
  <c r="H26" i="6"/>
  <c r="J26" i="6" s="1"/>
  <c r="H20" i="6"/>
  <c r="H19" i="6"/>
  <c r="H18" i="6"/>
  <c r="H17" i="6"/>
  <c r="H16" i="6"/>
  <c r="H15" i="6"/>
  <c r="B167" i="6"/>
  <c r="H138" i="6"/>
  <c r="H137" i="6"/>
  <c r="H136" i="6"/>
  <c r="H135" i="6"/>
  <c r="H134" i="6"/>
  <c r="H133" i="6"/>
  <c r="H196" i="6"/>
  <c r="H197" i="6"/>
  <c r="H198" i="6"/>
  <c r="H199" i="6"/>
  <c r="H200" i="6"/>
  <c r="H195" i="6"/>
  <c r="G186" i="6"/>
  <c r="G187" i="6"/>
  <c r="G188" i="6"/>
  <c r="G189" i="6"/>
  <c r="G185" i="6"/>
  <c r="G123" i="6"/>
  <c r="B117" i="6"/>
  <c r="G101" i="6"/>
  <c r="G124" i="6"/>
  <c r="G125" i="6"/>
  <c r="G126" i="6"/>
  <c r="G127" i="6"/>
  <c r="G102" i="6"/>
  <c r="G103" i="6"/>
  <c r="G104" i="6"/>
  <c r="G105" i="6"/>
  <c r="H58" i="6"/>
  <c r="H59" i="6"/>
  <c r="H60" i="6"/>
  <c r="H61" i="6"/>
  <c r="H62" i="6"/>
  <c r="H57" i="6"/>
  <c r="B43" i="6"/>
  <c r="H5" i="6"/>
  <c r="J16" i="6" s="1"/>
  <c r="H6" i="6"/>
  <c r="J17" i="6" s="1"/>
  <c r="H7" i="6"/>
  <c r="C51" i="6" s="1"/>
  <c r="H8" i="6"/>
  <c r="H9" i="6"/>
  <c r="J20" i="6" s="1"/>
  <c r="H4" i="6"/>
  <c r="J15" i="6" s="1"/>
  <c r="J32" i="5"/>
  <c r="K28" i="6" l="1"/>
  <c r="J29" i="6"/>
  <c r="K29" i="6" s="1"/>
  <c r="J27" i="6"/>
  <c r="K27" i="6" s="1"/>
  <c r="K26" i="6"/>
  <c r="C48" i="6"/>
  <c r="J19" i="6"/>
  <c r="J18" i="6"/>
  <c r="C50" i="6"/>
  <c r="C49" i="6"/>
  <c r="B68" i="6" l="1"/>
  <c r="B67" i="6"/>
  <c r="B36" i="6"/>
</calcChain>
</file>

<file path=xl/sharedStrings.xml><?xml version="1.0" encoding="utf-8"?>
<sst xmlns="http://schemas.openxmlformats.org/spreadsheetml/2006/main" count="615" uniqueCount="142">
  <si>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</si>
  <si>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</si>
  <si>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</si>
  <si>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</si>
  <si>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</si>
  <si>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</si>
  <si>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</si>
  <si>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</si>
  <si>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</si>
  <si>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</si>
  <si>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</si>
  <si>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</si>
  <si>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</si>
  <si>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</si>
  <si>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</si>
  <si>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</si>
  <si>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</si>
  <si>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</si>
  <si>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</si>
  <si>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</si>
  <si>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</si>
  <si>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</si>
  <si>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</si>
  <si>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</si>
  <si>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</si>
  <si>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</si>
  <si>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</si>
  <si>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</si>
  <si>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</si>
  <si>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</si>
  <si>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</si>
  <si>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</si>
  <si>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</si>
  <si>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</si>
  <si>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</si>
  <si>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</si>
  <si>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</si>
  <si>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</si>
  <si>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</si>
  <si>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</si>
  <si>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</si>
  <si>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</si>
  <si>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</si>
  <si>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</si>
  <si>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</si>
  <si>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</si>
  <si>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</si>
  <si>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</si>
  <si>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</si>
  <si>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</si>
  <si>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</si>
  <si>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</si>
  <si>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</si>
  <si>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</si>
  <si>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</si>
  <si>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</si>
  <si>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</si>
  <si>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</si>
  <si>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</si>
  <si>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</si>
  <si>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</si>
  <si>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</si>
  <si>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</si>
  <si>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</si>
  <si>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</si>
  <si>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</si>
  <si>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</si>
  <si>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</si>
  <si>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</si>
  <si>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</si>
  <si>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</si>
  <si>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</si>
  <si>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</si>
  <si>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 xml:space="preserve">Q-1 </t>
  </si>
  <si>
    <t xml:space="preserve">Total Sales </t>
  </si>
  <si>
    <t xml:space="preserve">Q-2 </t>
  </si>
  <si>
    <t>Q-4</t>
  </si>
  <si>
    <t>Total Number orders</t>
  </si>
  <si>
    <t xml:space="preserve">Q-5 </t>
  </si>
  <si>
    <t xml:space="preserve">Q-6 </t>
  </si>
  <si>
    <t xml:space="preserve">Region -Wise Total Sales </t>
  </si>
  <si>
    <t xml:space="preserve">North </t>
  </si>
  <si>
    <t>Sounth</t>
  </si>
  <si>
    <t xml:space="preserve">East </t>
  </si>
  <si>
    <t xml:space="preserve">West </t>
  </si>
  <si>
    <t>Q-7</t>
  </si>
  <si>
    <t>Q-8</t>
  </si>
  <si>
    <t>Q-9</t>
  </si>
  <si>
    <t>Month</t>
  </si>
  <si>
    <t>Q-10</t>
  </si>
  <si>
    <t>Q-11</t>
  </si>
  <si>
    <t>Q-12</t>
  </si>
  <si>
    <t xml:space="preserve">Average </t>
  </si>
  <si>
    <t>Q-13</t>
  </si>
  <si>
    <t>Q-14</t>
  </si>
  <si>
    <t xml:space="preserve">Count Student Attendance </t>
  </si>
  <si>
    <t>Q-15</t>
  </si>
  <si>
    <t>Classify</t>
  </si>
  <si>
    <t>Q-16</t>
  </si>
  <si>
    <t xml:space="preserve">Final Amount </t>
  </si>
  <si>
    <t xml:space="preserve">Total Final Amount </t>
  </si>
  <si>
    <t xml:space="preserve">MaxiMum </t>
  </si>
  <si>
    <t xml:space="preserve">MiniMum </t>
  </si>
  <si>
    <t xml:space="preserve">Classify Quantity </t>
  </si>
  <si>
    <t>Final Amonut (Descending )</t>
  </si>
  <si>
    <t>Row Labels</t>
  </si>
  <si>
    <t>Grand Total</t>
  </si>
  <si>
    <t xml:space="preserve">Q-17 </t>
  </si>
  <si>
    <t xml:space="preserve">Pivot table </t>
  </si>
  <si>
    <t xml:space="preserve">Q-18 </t>
  </si>
  <si>
    <t xml:space="preserve">Q-19 </t>
  </si>
  <si>
    <t>Sum of Excel</t>
  </si>
  <si>
    <t xml:space="preserve">Q-20 </t>
  </si>
  <si>
    <t xml:space="preserve">Q-21 </t>
  </si>
  <si>
    <t xml:space="preserve">Q-22 </t>
  </si>
  <si>
    <t xml:space="preserve">combine </t>
  </si>
  <si>
    <t>Q-23</t>
  </si>
  <si>
    <t xml:space="preserve">first 2 letters </t>
  </si>
  <si>
    <t>Pivot Table 19</t>
  </si>
  <si>
    <t xml:space="preserve">Sum of Total Sales </t>
  </si>
  <si>
    <t xml:space="preserve">Piot Table 18 </t>
  </si>
  <si>
    <t xml:space="preserve">Median Of Statistics </t>
  </si>
  <si>
    <t xml:space="preserve">Q-24 </t>
  </si>
  <si>
    <t xml:space="preserve">go to Q-3 </t>
  </si>
  <si>
    <t xml:space="preserve">Q-25 </t>
  </si>
  <si>
    <t xml:space="preserve">Q-26 </t>
  </si>
  <si>
    <t>Total_sales</t>
  </si>
  <si>
    <t>GST %</t>
  </si>
  <si>
    <t>GST_Amt</t>
  </si>
  <si>
    <t>Avg_marks</t>
  </si>
  <si>
    <t xml:space="preserve">GST </t>
  </si>
  <si>
    <t xml:space="preserve">GST_amount </t>
  </si>
  <si>
    <t xml:space="preserve">Total Amount payable </t>
  </si>
  <si>
    <t xml:space="preserve">Q-3 </t>
  </si>
  <si>
    <t xml:space="preserve"> Standard Deviation</t>
  </si>
  <si>
    <t xml:space="preserve">Q-27 </t>
  </si>
  <si>
    <t xml:space="preserve">Round </t>
  </si>
  <si>
    <t xml:space="preserve">Q-28 </t>
  </si>
  <si>
    <t xml:space="preserve">Q-29 </t>
  </si>
  <si>
    <t xml:space="preserve">Q-30 </t>
  </si>
  <si>
    <t>topper</t>
  </si>
  <si>
    <t xml:space="preserve">product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</si>
</sst>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4" borderId="0" xfId="0" applyFill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[exam.xlsx]Pivot table 18!PivotTable4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Sum Total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18'!$B$3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18'!$A$4:$A$7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 18'!$B$4:$B$7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2-4912-AF8E-AD2A49A51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71103"/>
        <c:axId val="2027958159"/>
      </c:barChart>
      <c:catAx>
        <c:axId val="11667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958159"/>
        <c:crosses val="autoZero"/>
        <c:auto val="1"/>
        <c:lblAlgn val="ctr"/>
        <c:lblOffset val="100"/>
        <c:noMultiLvlLbl val="0"/>
      </c:catAx>
      <c:valAx>
        <c:axId val="202795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7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[exam.xlsx]Pivot table 19 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Excel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19 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19 '!$A$2:$A$7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'Pivot table 19 '!$B$2:$B$7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9-43B8-94D0-D9F7C3233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09456"/>
        <c:axId val="2057502960"/>
      </c:barChart>
      <c:catAx>
        <c:axId val="6780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02960"/>
        <c:crosses val="autoZero"/>
        <c:auto val="1"/>
        <c:lblAlgn val="ctr"/>
        <c:lblOffset val="100"/>
        <c:noMultiLvlLbl val="0"/>
      </c:catAx>
      <c:valAx>
        <c:axId val="205750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0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2</xdr:row>
      <xdr:rowOff>34290</xdr:rowOff>
    </xdr:from>
    <xdr:to>
      <xdr:col>10</xdr:col>
      <xdr:colOff>358140</xdr:colOff>
      <xdr:row>17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1F928F-98BB-73C3-2DF1-430E68892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2</xdr:row>
      <xdr:rowOff>95250</xdr:rowOff>
    </xdr:from>
    <xdr:to>
      <xdr:col>11</xdr:col>
      <xdr:colOff>53340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2B6149-AED2-ACE3-3F3A-C404BD41A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yanshi\Downloads\MS_Excel_Practical_Exam_Answers.xlsx" TargetMode="External"/><Relationship Id="rId1" Type="http://schemas.openxmlformats.org/officeDocument/2006/relationships/externalLinkPath" Target="file:///C:\Users\priyanshi\Downloads\MS_Excel_Practical_Exam_Answ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ales_Data"/>
      <sheetName val="Product_Master"/>
      <sheetName val="Student_Marks"/>
      <sheetName val="Questions"/>
      <sheetName val="Pivot"/>
      <sheetName val="Answers"/>
      <sheetName val="Sheet1"/>
    </sheetNames>
    <sheetDataSet>
      <sheetData sheetId="0"/>
      <sheetData sheetId="1"/>
      <sheetData sheetId="2">
        <row r="1">
          <cell r="A1" t="str">
            <v>Product</v>
          </cell>
        </row>
      </sheetData>
      <sheetData sheetId="3"/>
      <sheetData sheetId="4"/>
      <sheetData sheetId="5"/>
      <sheetData sheetId="6">
        <row r="105">
          <cell r="D105" t="str">
            <v>Laptop</v>
          </cell>
        </row>
        <row r="150">
          <cell r="C150" t="str">
            <v>Excel</v>
          </cell>
        </row>
        <row r="151">
          <cell r="B151" t="str">
            <v>Rahul</v>
          </cell>
          <cell r="C151">
            <v>85</v>
          </cell>
        </row>
        <row r="152">
          <cell r="B152" t="str">
            <v>Sneha</v>
          </cell>
          <cell r="C152">
            <v>90</v>
          </cell>
        </row>
        <row r="153">
          <cell r="B153" t="str">
            <v>Arjun</v>
          </cell>
          <cell r="C153">
            <v>72</v>
          </cell>
        </row>
        <row r="154">
          <cell r="B154" t="str">
            <v>Pooja</v>
          </cell>
          <cell r="C154">
            <v>94</v>
          </cell>
        </row>
        <row r="155">
          <cell r="B155" t="str">
            <v>Vikas</v>
          </cell>
          <cell r="C155">
            <v>58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shi" refreshedDate="46213.767402083336" createdVersion="8" refreshedVersion="8" minRefreshableVersion="3" recordCount="5" xr:uid="{018EB37F-D4A3-4DA2-A400-79D9C081FE70}">
  <cacheSource type="worksheet">
    <worksheetSource ref="A1:F6" sheet="Student_Marks"/>
  </cacheSource>
  <cacheFields count="6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shi" refreshedDate="46213.858590046293" createdVersion="8" refreshedVersion="8" minRefreshableVersion="3" recordCount="6" xr:uid="{F0B85523-5382-4671-82B2-8AFA51E055FD}">
  <cacheSource type="worksheet">
    <worksheetSource ref="A132:H138" sheet="Ans "/>
  </cacheSource>
  <cacheFields count="8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 " numFmtId="0">
      <sharedItems containsSemiMixedTypes="0" containsString="0" containsNumber="1" containsInteger="1" minValue="45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78"/>
    <n v="82"/>
    <n v="85"/>
    <n v="92"/>
  </r>
  <r>
    <n v="2"/>
    <x v="1"/>
    <n v="88"/>
    <n v="91"/>
    <n v="90"/>
    <n v="96"/>
  </r>
  <r>
    <n v="3"/>
    <x v="2"/>
    <n v="65"/>
    <n v="70"/>
    <n v="72"/>
    <n v="85"/>
  </r>
  <r>
    <n v="4"/>
    <x v="3"/>
    <n v="92"/>
    <n v="89"/>
    <n v="94"/>
    <n v="98"/>
  </r>
  <r>
    <n v="5"/>
    <x v="4"/>
    <n v="55"/>
    <n v="60"/>
    <n v="58"/>
    <n v="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90000"/>
  </r>
  <r>
    <n v="302"/>
    <x v="1"/>
    <s v="Riya"/>
    <x v="1"/>
    <n v="5"/>
    <n v="15000"/>
    <s v="07-01-2025"/>
    <n v="75000"/>
  </r>
  <r>
    <n v="303"/>
    <x v="2"/>
    <s v="Kunal"/>
    <x v="2"/>
    <n v="3"/>
    <n v="18000"/>
    <s v="10-01-2025"/>
    <n v="54000"/>
  </r>
  <r>
    <n v="304"/>
    <x v="3"/>
    <s v="Neha"/>
    <x v="0"/>
    <n v="1"/>
    <n v="45000"/>
    <s v="12-01-2025"/>
    <n v="45000"/>
  </r>
  <r>
    <n v="305"/>
    <x v="0"/>
    <s v="Amit"/>
    <x v="1"/>
    <n v="4"/>
    <n v="15000"/>
    <s v="15-01-2025"/>
    <n v="60000"/>
  </r>
  <r>
    <n v="306"/>
    <x v="1"/>
    <s v="Riya"/>
    <x v="0"/>
    <n v="2"/>
    <n v="45000"/>
    <s v="18-01-2025"/>
    <n v="9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BD1F5-DF3D-4A2C-9D19-1849C0F226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FC40C-272B-414A-BBEA-4654BC36B04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 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21E26-5112-4422-A0BA-2AD967FC1C9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2935A-5E83-41D3-9488-8BAF8F6246A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7" firstHeaderRow="1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E7A8A0-45A6-4C2C-A0AD-293EC15D5475}" name="Table5" displayName="Table5" ref="A211:G217" totalsRowShown="0">
  <autoFilter ref="A211:G217" xr:uid="{4480BAB2-A061-4FEC-A947-134F6B3C305F}">
    <filterColumn colId="3">
      <filters>
        <filter val="Laptop"/>
      </filters>
    </filterColumn>
    <filterColumn colId="4">
      <customFilters>
        <customFilter operator="greaterThan" val="1"/>
      </customFilters>
    </filterColumn>
  </autoFilter>
  <tableColumns count="7">
    <tableColumn id="1" xr3:uid="{13163113-B9B1-4936-A5ED-F137F0A2D3B7}" name="Order_ID"/>
    <tableColumn id="2" xr3:uid="{15DEE978-FCA8-4A3D-A192-7F91107AFC79}" name="Region"/>
    <tableColumn id="3" xr3:uid="{0D8D2A9A-A2A7-4D72-86B7-8B947EBDD01F}" name="Salesperson"/>
    <tableColumn id="4" xr3:uid="{98170FA2-D5E9-4A28-94A7-6231F861D599}" name="Product"/>
    <tableColumn id="5" xr3:uid="{EFA3E245-192D-4231-8104-F8C4A0C3CDA4}" name="Quantity"/>
    <tableColumn id="6" xr3:uid="{D31A86DA-5A47-4D59-8E57-84D897AA2F56}" name="Unit_Price"/>
    <tableColumn id="7" xr3:uid="{DCD5B9E9-E0C4-4F03-A32D-EA28700B22A3}" name="Sales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4.4" x14ac:dyDescent="0.3"/>
  <sheetData>
    <row r="1" spans="1:1" x14ac:dyDescent="0.3">
      <c r="A1" t="s">
        <v>72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G17" sqref="G17"/>
    </sheetView>
  </sheetViews>
  <sheetFormatPr defaultRowHeight="14.4" x14ac:dyDescent="0.3"/>
  <cols>
    <col min="3" max="3" width="12.21875" customWidth="1"/>
    <col min="7" max="7" width="10.109375" customWidth="1"/>
  </cols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3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3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3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3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3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E6" sqref="E6"/>
    </sheetView>
  </sheetViews>
  <sheetFormatPr defaultRowHeight="14.4" x14ac:dyDescent="0.3"/>
  <cols>
    <col min="1" max="1" width="10" bestFit="1" customWidth="1"/>
  </cols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3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3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3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3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sheetProtection sheet="1" objects="1" scenarios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E20" sqref="E20"/>
    </sheetView>
  </sheetViews>
  <sheetFormatPr defaultRowHeight="14.4" x14ac:dyDescent="0.3"/>
  <cols>
    <col min="1" max="1" width="11.77734375" customWidth="1"/>
    <col min="3" max="3" width="12.109375" customWidth="1"/>
  </cols>
  <sheetData>
    <row r="1" spans="1:3" x14ac:dyDescent="0.3">
      <c r="A1" t="s">
        <v>7</v>
      </c>
      <c r="B1" t="s">
        <v>28</v>
      </c>
      <c r="C1" t="s">
        <v>29</v>
      </c>
    </row>
    <row r="2" spans="1:3" x14ac:dyDescent="0.3">
      <c r="A2" t="s">
        <v>13</v>
      </c>
      <c r="B2" t="s">
        <v>30</v>
      </c>
      <c r="C2">
        <v>18</v>
      </c>
    </row>
    <row r="3" spans="1:3" x14ac:dyDescent="0.3">
      <c r="A3" t="s">
        <v>17</v>
      </c>
      <c r="B3" t="s">
        <v>30</v>
      </c>
      <c r="C3">
        <v>12</v>
      </c>
    </row>
    <row r="4" spans="1:3" x14ac:dyDescent="0.3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8" workbookViewId="0">
      <selection activeCell="A30" sqref="A30:D30"/>
    </sheetView>
  </sheetViews>
  <sheetFormatPr defaultRowHeight="14.4" x14ac:dyDescent="0.3"/>
  <sheetData>
    <row r="1" spans="1:10" x14ac:dyDescent="0.3">
      <c r="A1" t="s">
        <v>42</v>
      </c>
      <c r="J1">
        <v>2</v>
      </c>
    </row>
    <row r="2" spans="1:10" x14ac:dyDescent="0.3">
      <c r="A2" t="s">
        <v>43</v>
      </c>
      <c r="J2">
        <v>2</v>
      </c>
    </row>
    <row r="3" spans="1:10" x14ac:dyDescent="0.3">
      <c r="A3" t="s">
        <v>44</v>
      </c>
      <c r="J3">
        <v>2</v>
      </c>
    </row>
    <row r="4" spans="1:10" x14ac:dyDescent="0.3">
      <c r="A4" t="s">
        <v>45</v>
      </c>
      <c r="J4">
        <v>2</v>
      </c>
    </row>
    <row r="5" spans="1:10" x14ac:dyDescent="0.3">
      <c r="A5" t="s">
        <v>46</v>
      </c>
      <c r="J5">
        <v>2</v>
      </c>
    </row>
    <row r="6" spans="1:10" x14ac:dyDescent="0.3">
      <c r="A6" t="s">
        <v>47</v>
      </c>
      <c r="J6">
        <v>2</v>
      </c>
    </row>
    <row r="7" spans="1:10" x14ac:dyDescent="0.3">
      <c r="A7" t="s">
        <v>48</v>
      </c>
      <c r="J7">
        <v>2</v>
      </c>
    </row>
    <row r="8" spans="1:10" x14ac:dyDescent="0.3">
      <c r="A8" t="s">
        <v>49</v>
      </c>
      <c r="J8">
        <v>2</v>
      </c>
    </row>
    <row r="9" spans="1:10" x14ac:dyDescent="0.3">
      <c r="A9" t="s">
        <v>50</v>
      </c>
      <c r="J9">
        <v>2</v>
      </c>
    </row>
    <row r="10" spans="1:10" x14ac:dyDescent="0.3">
      <c r="A10" t="s">
        <v>51</v>
      </c>
      <c r="J10">
        <v>2</v>
      </c>
    </row>
    <row r="11" spans="1:10" x14ac:dyDescent="0.3">
      <c r="A11" t="s">
        <v>52</v>
      </c>
      <c r="J11">
        <v>2</v>
      </c>
    </row>
    <row r="12" spans="1:10" x14ac:dyDescent="0.3">
      <c r="A12" t="s">
        <v>53</v>
      </c>
      <c r="J12">
        <v>2</v>
      </c>
    </row>
    <row r="13" spans="1:10" x14ac:dyDescent="0.3">
      <c r="A13" t="s">
        <v>54</v>
      </c>
      <c r="J13">
        <v>2</v>
      </c>
    </row>
    <row r="14" spans="1:10" x14ac:dyDescent="0.3">
      <c r="A14" t="s">
        <v>55</v>
      </c>
      <c r="J14">
        <v>2</v>
      </c>
    </row>
    <row r="15" spans="1:10" x14ac:dyDescent="0.3">
      <c r="A15" t="s">
        <v>56</v>
      </c>
      <c r="J15">
        <v>2</v>
      </c>
    </row>
    <row r="16" spans="1:10" x14ac:dyDescent="0.3">
      <c r="A16" t="s">
        <v>57</v>
      </c>
      <c r="J16">
        <v>2</v>
      </c>
    </row>
    <row r="17" spans="1:10" x14ac:dyDescent="0.3">
      <c r="A17" t="s">
        <v>58</v>
      </c>
      <c r="J17">
        <v>2</v>
      </c>
    </row>
    <row r="18" spans="1:10" x14ac:dyDescent="0.3">
      <c r="A18" t="s">
        <v>59</v>
      </c>
      <c r="J18">
        <v>2</v>
      </c>
    </row>
    <row r="19" spans="1:10" x14ac:dyDescent="0.3">
      <c r="A19" t="s">
        <v>60</v>
      </c>
      <c r="J19">
        <v>2</v>
      </c>
    </row>
    <row r="20" spans="1:10" x14ac:dyDescent="0.3">
      <c r="A20" t="s">
        <v>61</v>
      </c>
      <c r="J20">
        <v>2</v>
      </c>
    </row>
    <row r="21" spans="1:10" x14ac:dyDescent="0.3">
      <c r="A21" t="s">
        <v>62</v>
      </c>
      <c r="J21">
        <v>2</v>
      </c>
    </row>
    <row r="22" spans="1:10" x14ac:dyDescent="0.3">
      <c r="A22" t="s">
        <v>63</v>
      </c>
      <c r="J22">
        <v>2</v>
      </c>
    </row>
    <row r="23" spans="1:10" x14ac:dyDescent="0.3">
      <c r="A23" t="s">
        <v>64</v>
      </c>
      <c r="J23">
        <v>2</v>
      </c>
    </row>
    <row r="24" spans="1:10" x14ac:dyDescent="0.3">
      <c r="A24" t="s">
        <v>65</v>
      </c>
      <c r="J24">
        <v>2</v>
      </c>
    </row>
    <row r="25" spans="1:10" x14ac:dyDescent="0.3">
      <c r="A25" t="s">
        <v>66</v>
      </c>
      <c r="J25">
        <v>2</v>
      </c>
    </row>
    <row r="26" spans="1:10" x14ac:dyDescent="0.3">
      <c r="A26" t="s">
        <v>67</v>
      </c>
      <c r="J26">
        <v>2</v>
      </c>
    </row>
    <row r="27" spans="1:10" x14ac:dyDescent="0.3">
      <c r="A27" t="s">
        <v>68</v>
      </c>
      <c r="J27">
        <v>2</v>
      </c>
    </row>
    <row r="28" spans="1:10" x14ac:dyDescent="0.3">
      <c r="A28" t="s">
        <v>69</v>
      </c>
      <c r="J28">
        <v>2</v>
      </c>
    </row>
    <row r="29" spans="1:10" x14ac:dyDescent="0.3">
      <c r="A29" t="s">
        <v>70</v>
      </c>
      <c r="J29">
        <v>2</v>
      </c>
    </row>
    <row r="30" spans="1:10" x14ac:dyDescent="0.3">
      <c r="A30" t="s">
        <v>71</v>
      </c>
      <c r="J30">
        <v>2</v>
      </c>
    </row>
    <row r="32" spans="1:10" x14ac:dyDescent="0.3">
      <c r="J32">
        <f>SUM(J1:J30)</f>
        <v>60</v>
      </c>
    </row>
  </sheetData>
  <conditionalFormatting sqref="F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CC6A-D700-446B-A3B2-C5A9E4CAC5AF}">
  <dimension ref="A3:B7"/>
  <sheetViews>
    <sheetView workbookViewId="0">
      <selection activeCell="H24" sqref="H24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7" t="s">
        <v>105</v>
      </c>
      <c r="B3" t="s">
        <v>119</v>
      </c>
    </row>
    <row r="4" spans="1:2" x14ac:dyDescent="0.3">
      <c r="A4" s="8" t="s">
        <v>13</v>
      </c>
      <c r="B4">
        <v>225000</v>
      </c>
    </row>
    <row r="5" spans="1:2" x14ac:dyDescent="0.3">
      <c r="A5" s="8" t="s">
        <v>17</v>
      </c>
      <c r="B5">
        <v>135000</v>
      </c>
    </row>
    <row r="6" spans="1:2" x14ac:dyDescent="0.3">
      <c r="A6" s="8" t="s">
        <v>21</v>
      </c>
      <c r="B6">
        <v>54000</v>
      </c>
    </row>
    <row r="7" spans="1:2" x14ac:dyDescent="0.3">
      <c r="A7" s="8" t="s">
        <v>106</v>
      </c>
      <c r="B7">
        <v>414000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BE17-5242-4992-A6E8-77BF1D2C03EA}">
  <dimension ref="A3:B7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7" t="s">
        <v>105</v>
      </c>
      <c r="B3" t="s">
        <v>119</v>
      </c>
    </row>
    <row r="4" spans="1:2" x14ac:dyDescent="0.3">
      <c r="A4" s="8" t="s">
        <v>13</v>
      </c>
      <c r="B4">
        <v>225000</v>
      </c>
    </row>
    <row r="5" spans="1:2" x14ac:dyDescent="0.3">
      <c r="A5" s="8" t="s">
        <v>17</v>
      </c>
      <c r="B5">
        <v>135000</v>
      </c>
    </row>
    <row r="6" spans="1:2" x14ac:dyDescent="0.3">
      <c r="A6" s="8" t="s">
        <v>21</v>
      </c>
      <c r="B6">
        <v>54000</v>
      </c>
    </row>
    <row r="7" spans="1:2" x14ac:dyDescent="0.3">
      <c r="A7" s="8" t="s">
        <v>106</v>
      </c>
      <c r="B7">
        <v>414000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C8DC-7DEB-421D-A9E6-732C7E80A7E2}">
  <dimension ref="A3:B8"/>
  <sheetViews>
    <sheetView workbookViewId="0">
      <selection activeCell="I15" sqref="I15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7" t="s">
        <v>105</v>
      </c>
      <c r="B3" t="s">
        <v>119</v>
      </c>
    </row>
    <row r="4" spans="1:2" x14ac:dyDescent="0.3">
      <c r="A4" s="8" t="s">
        <v>19</v>
      </c>
      <c r="B4">
        <v>54000</v>
      </c>
    </row>
    <row r="5" spans="1:2" x14ac:dyDescent="0.3">
      <c r="A5" s="8" t="s">
        <v>11</v>
      </c>
      <c r="B5">
        <v>150000</v>
      </c>
    </row>
    <row r="6" spans="1:2" x14ac:dyDescent="0.3">
      <c r="A6" s="8" t="s">
        <v>15</v>
      </c>
      <c r="B6">
        <v>165000</v>
      </c>
    </row>
    <row r="7" spans="1:2" x14ac:dyDescent="0.3">
      <c r="A7" s="8" t="s">
        <v>23</v>
      </c>
      <c r="B7">
        <v>45000</v>
      </c>
    </row>
    <row r="8" spans="1:2" x14ac:dyDescent="0.3">
      <c r="A8" s="8" t="s">
        <v>106</v>
      </c>
      <c r="B8">
        <v>414000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4D6B-4FE7-4E23-9D4E-9B7D002CDD19}">
  <dimension ref="A1:B7"/>
  <sheetViews>
    <sheetView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7" t="s">
        <v>105</v>
      </c>
      <c r="B1" t="s">
        <v>111</v>
      </c>
    </row>
    <row r="2" spans="1:2" x14ac:dyDescent="0.3">
      <c r="A2" s="8" t="s">
        <v>39</v>
      </c>
      <c r="B2">
        <v>72</v>
      </c>
    </row>
    <row r="3" spans="1:2" x14ac:dyDescent="0.3">
      <c r="A3" s="8" t="s">
        <v>40</v>
      </c>
      <c r="B3">
        <v>94</v>
      </c>
    </row>
    <row r="4" spans="1:2" x14ac:dyDescent="0.3">
      <c r="A4" s="8" t="s">
        <v>37</v>
      </c>
      <c r="B4">
        <v>85</v>
      </c>
    </row>
    <row r="5" spans="1:2" x14ac:dyDescent="0.3">
      <c r="A5" s="8" t="s">
        <v>38</v>
      </c>
      <c r="B5">
        <v>90</v>
      </c>
    </row>
    <row r="6" spans="1:2" x14ac:dyDescent="0.3">
      <c r="A6" s="8" t="s">
        <v>41</v>
      </c>
      <c r="B6">
        <v>58</v>
      </c>
    </row>
    <row r="7" spans="1:2" x14ac:dyDescent="0.3">
      <c r="A7" s="8" t="s">
        <v>106</v>
      </c>
      <c r="B7">
        <v>399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BAB2-A061-4FEC-A947-134F6B3C305F}">
  <dimension ref="A1:K271"/>
  <sheetViews>
    <sheetView tabSelected="1" zoomScale="97" workbookViewId="0">
      <selection activeCell="I149" sqref="I149"/>
    </sheetView>
  </sheetViews>
  <sheetFormatPr defaultRowHeight="14.4" x14ac:dyDescent="0.3"/>
  <cols>
    <col min="1" max="1" width="24.33203125" customWidth="1"/>
    <col min="2" max="2" width="12.5546875" customWidth="1"/>
    <col min="3" max="3" width="13.21875" customWidth="1"/>
    <col min="4" max="4" width="11.6640625" customWidth="1"/>
    <col min="5" max="5" width="12.5546875" customWidth="1"/>
    <col min="6" max="6" width="16.21875" customWidth="1"/>
    <col min="7" max="7" width="12.21875" customWidth="1"/>
    <col min="8" max="8" width="15.33203125" customWidth="1"/>
    <col min="10" max="10" width="12.6640625" customWidth="1"/>
    <col min="11" max="11" width="19.77734375" customWidth="1"/>
  </cols>
  <sheetData>
    <row r="1" spans="1:10" x14ac:dyDescent="0.3">
      <c r="A1" s="10" t="s">
        <v>73</v>
      </c>
    </row>
    <row r="2" spans="1:10" x14ac:dyDescent="0.3">
      <c r="A2" s="9" t="s">
        <v>42</v>
      </c>
      <c r="B2" s="9"/>
      <c r="C2" s="9"/>
      <c r="D2" s="9"/>
    </row>
    <row r="3" spans="1:10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s="1" t="s">
        <v>74</v>
      </c>
    </row>
    <row r="4" spans="1:10" x14ac:dyDescent="0.3">
      <c r="A4">
        <v>301</v>
      </c>
      <c r="B4" t="s">
        <v>11</v>
      </c>
      <c r="C4" t="s">
        <v>12</v>
      </c>
      <c r="D4" t="s">
        <v>13</v>
      </c>
      <c r="E4">
        <v>2</v>
      </c>
      <c r="F4">
        <v>45000</v>
      </c>
      <c r="G4" t="s">
        <v>14</v>
      </c>
      <c r="H4">
        <f>E4*F4</f>
        <v>90000</v>
      </c>
    </row>
    <row r="5" spans="1:10" x14ac:dyDescent="0.3">
      <c r="A5">
        <v>302</v>
      </c>
      <c r="B5" t="s">
        <v>15</v>
      </c>
      <c r="C5" t="s">
        <v>16</v>
      </c>
      <c r="D5" t="s">
        <v>17</v>
      </c>
      <c r="E5">
        <v>5</v>
      </c>
      <c r="F5">
        <v>15000</v>
      </c>
      <c r="G5" t="s">
        <v>18</v>
      </c>
      <c r="H5">
        <f t="shared" ref="H5:H9" si="0">E5*F5</f>
        <v>75000</v>
      </c>
    </row>
    <row r="6" spans="1:10" x14ac:dyDescent="0.3">
      <c r="A6">
        <v>303</v>
      </c>
      <c r="B6" t="s">
        <v>19</v>
      </c>
      <c r="C6" t="s">
        <v>20</v>
      </c>
      <c r="D6" t="s">
        <v>21</v>
      </c>
      <c r="E6">
        <v>3</v>
      </c>
      <c r="F6">
        <v>18000</v>
      </c>
      <c r="G6" t="s">
        <v>22</v>
      </c>
      <c r="H6">
        <f t="shared" si="0"/>
        <v>54000</v>
      </c>
    </row>
    <row r="7" spans="1:10" x14ac:dyDescent="0.3">
      <c r="A7">
        <v>304</v>
      </c>
      <c r="B7" t="s">
        <v>23</v>
      </c>
      <c r="C7" t="s">
        <v>24</v>
      </c>
      <c r="D7" t="s">
        <v>13</v>
      </c>
      <c r="E7">
        <v>1</v>
      </c>
      <c r="F7">
        <v>45000</v>
      </c>
      <c r="G7" t="s">
        <v>25</v>
      </c>
      <c r="H7">
        <f t="shared" si="0"/>
        <v>45000</v>
      </c>
    </row>
    <row r="8" spans="1:10" x14ac:dyDescent="0.3">
      <c r="A8">
        <v>305</v>
      </c>
      <c r="B8" t="s">
        <v>11</v>
      </c>
      <c r="C8" t="s">
        <v>12</v>
      </c>
      <c r="D8" t="s">
        <v>17</v>
      </c>
      <c r="E8">
        <v>4</v>
      </c>
      <c r="F8">
        <v>15000</v>
      </c>
      <c r="G8" t="s">
        <v>26</v>
      </c>
      <c r="H8">
        <f t="shared" si="0"/>
        <v>60000</v>
      </c>
    </row>
    <row r="9" spans="1:10" x14ac:dyDescent="0.3">
      <c r="A9">
        <v>306</v>
      </c>
      <c r="B9" t="s">
        <v>15</v>
      </c>
      <c r="C9" t="s">
        <v>16</v>
      </c>
      <c r="D9" t="s">
        <v>13</v>
      </c>
      <c r="E9">
        <v>2</v>
      </c>
      <c r="F9">
        <v>45000</v>
      </c>
      <c r="G9" t="s">
        <v>27</v>
      </c>
      <c r="H9">
        <f t="shared" si="0"/>
        <v>90000</v>
      </c>
    </row>
    <row r="12" spans="1:10" x14ac:dyDescent="0.3">
      <c r="A12" s="10" t="s">
        <v>75</v>
      </c>
    </row>
    <row r="13" spans="1:10" x14ac:dyDescent="0.3">
      <c r="A13" s="9" t="s">
        <v>43</v>
      </c>
      <c r="B13" s="9"/>
      <c r="C13" s="9"/>
      <c r="D13" s="9"/>
    </row>
    <row r="14" spans="1:10" x14ac:dyDescent="0.3">
      <c r="A14" t="s">
        <v>4</v>
      </c>
      <c r="B14" t="s">
        <v>5</v>
      </c>
      <c r="C14" t="s">
        <v>6</v>
      </c>
      <c r="D14" t="s">
        <v>7</v>
      </c>
      <c r="E14" t="s">
        <v>8</v>
      </c>
      <c r="F14" t="s">
        <v>9</v>
      </c>
      <c r="G14" t="s">
        <v>10</v>
      </c>
      <c r="H14" s="1" t="s">
        <v>74</v>
      </c>
      <c r="I14" s="1" t="s">
        <v>130</v>
      </c>
      <c r="J14" s="1" t="s">
        <v>131</v>
      </c>
    </row>
    <row r="15" spans="1:10" x14ac:dyDescent="0.3">
      <c r="A15">
        <v>301</v>
      </c>
      <c r="B15" t="s">
        <v>11</v>
      </c>
      <c r="C15" t="s">
        <v>12</v>
      </c>
      <c r="D15" t="s">
        <v>13</v>
      </c>
      <c r="E15">
        <v>2</v>
      </c>
      <c r="F15">
        <v>45000</v>
      </c>
      <c r="G15" t="s">
        <v>14</v>
      </c>
      <c r="H15">
        <f>E15*F15</f>
        <v>90000</v>
      </c>
      <c r="I15">
        <v>18</v>
      </c>
      <c r="J15">
        <f>I15*H4/100</f>
        <v>16200</v>
      </c>
    </row>
    <row r="16" spans="1:10" x14ac:dyDescent="0.3">
      <c r="A16">
        <v>302</v>
      </c>
      <c r="B16" t="s">
        <v>15</v>
      </c>
      <c r="C16" t="s">
        <v>16</v>
      </c>
      <c r="D16" t="s">
        <v>17</v>
      </c>
      <c r="E16">
        <v>5</v>
      </c>
      <c r="F16">
        <v>15000</v>
      </c>
      <c r="G16" t="s">
        <v>18</v>
      </c>
      <c r="H16">
        <f t="shared" ref="H16:H20" si="1">E16*F16</f>
        <v>75000</v>
      </c>
      <c r="I16">
        <v>12</v>
      </c>
      <c r="J16">
        <f t="shared" ref="J16:J19" si="2">I16*H5/100</f>
        <v>9000</v>
      </c>
    </row>
    <row r="17" spans="1:11" x14ac:dyDescent="0.3">
      <c r="A17">
        <v>303</v>
      </c>
      <c r="B17" t="s">
        <v>19</v>
      </c>
      <c r="C17" t="s">
        <v>20</v>
      </c>
      <c r="D17" t="s">
        <v>21</v>
      </c>
      <c r="E17">
        <v>3</v>
      </c>
      <c r="F17">
        <v>18000</v>
      </c>
      <c r="G17" t="s">
        <v>22</v>
      </c>
      <c r="H17">
        <f t="shared" si="1"/>
        <v>54000</v>
      </c>
      <c r="I17">
        <v>12</v>
      </c>
      <c r="J17">
        <f t="shared" si="2"/>
        <v>6480</v>
      </c>
    </row>
    <row r="18" spans="1:11" x14ac:dyDescent="0.3">
      <c r="A18">
        <v>304</v>
      </c>
      <c r="B18" t="s">
        <v>23</v>
      </c>
      <c r="C18" t="s">
        <v>24</v>
      </c>
      <c r="D18" t="s">
        <v>13</v>
      </c>
      <c r="E18">
        <v>1</v>
      </c>
      <c r="F18">
        <v>45000</v>
      </c>
      <c r="G18" t="s">
        <v>25</v>
      </c>
      <c r="H18">
        <f t="shared" si="1"/>
        <v>45000</v>
      </c>
      <c r="I18">
        <v>18</v>
      </c>
      <c r="J18">
        <f t="shared" si="2"/>
        <v>8100</v>
      </c>
    </row>
    <row r="19" spans="1:11" ht="15.6" customHeight="1" x14ac:dyDescent="0.3">
      <c r="A19">
        <v>305</v>
      </c>
      <c r="B19" t="s">
        <v>11</v>
      </c>
      <c r="C19" t="s">
        <v>12</v>
      </c>
      <c r="D19" t="s">
        <v>17</v>
      </c>
      <c r="E19">
        <v>4</v>
      </c>
      <c r="F19">
        <v>15000</v>
      </c>
      <c r="G19" t="s">
        <v>26</v>
      </c>
      <c r="H19">
        <f t="shared" si="1"/>
        <v>60000</v>
      </c>
      <c r="I19">
        <v>12</v>
      </c>
      <c r="J19">
        <f t="shared" si="2"/>
        <v>7200</v>
      </c>
    </row>
    <row r="20" spans="1:11" ht="13.8" customHeight="1" x14ac:dyDescent="0.3">
      <c r="A20">
        <v>306</v>
      </c>
      <c r="B20" t="s">
        <v>15</v>
      </c>
      <c r="C20" t="s">
        <v>16</v>
      </c>
      <c r="D20" t="s">
        <v>13</v>
      </c>
      <c r="E20">
        <v>2</v>
      </c>
      <c r="F20">
        <v>45000</v>
      </c>
      <c r="G20" t="s">
        <v>27</v>
      </c>
      <c r="H20">
        <f t="shared" si="1"/>
        <v>90000</v>
      </c>
      <c r="I20">
        <v>18</v>
      </c>
      <c r="J20">
        <f>I20*H9/100</f>
        <v>16200</v>
      </c>
    </row>
    <row r="21" spans="1:11" ht="13.8" customHeight="1" x14ac:dyDescent="0.3"/>
    <row r="22" spans="1:11" ht="13.8" customHeight="1" x14ac:dyDescent="0.3"/>
    <row r="23" spans="1:11" ht="13.8" customHeight="1" x14ac:dyDescent="0.3">
      <c r="A23" s="10" t="s">
        <v>133</v>
      </c>
    </row>
    <row r="24" spans="1:11" x14ac:dyDescent="0.3">
      <c r="A24" s="9" t="s">
        <v>44</v>
      </c>
      <c r="B24" s="9"/>
      <c r="C24" s="9"/>
    </row>
    <row r="25" spans="1:11" x14ac:dyDescent="0.3">
      <c r="A25" t="s">
        <v>4</v>
      </c>
      <c r="B25" t="s">
        <v>5</v>
      </c>
      <c r="C25" t="s">
        <v>6</v>
      </c>
      <c r="D25" t="s">
        <v>7</v>
      </c>
      <c r="E25" t="s">
        <v>8</v>
      </c>
      <c r="F25" t="s">
        <v>9</v>
      </c>
      <c r="G25" t="s">
        <v>10</v>
      </c>
      <c r="H25" s="1" t="s">
        <v>74</v>
      </c>
      <c r="I25" s="1" t="s">
        <v>130</v>
      </c>
      <c r="J25" s="1" t="s">
        <v>131</v>
      </c>
      <c r="K25" s="1" t="s">
        <v>132</v>
      </c>
    </row>
    <row r="26" spans="1:11" x14ac:dyDescent="0.3">
      <c r="A26">
        <v>301</v>
      </c>
      <c r="B26" t="s">
        <v>11</v>
      </c>
      <c r="C26" t="s">
        <v>12</v>
      </c>
      <c r="D26" t="s">
        <v>13</v>
      </c>
      <c r="E26">
        <v>2</v>
      </c>
      <c r="F26">
        <v>45000</v>
      </c>
      <c r="G26" t="s">
        <v>14</v>
      </c>
      <c r="H26">
        <f>E26*F26</f>
        <v>90000</v>
      </c>
      <c r="I26">
        <v>18</v>
      </c>
      <c r="J26">
        <f>I26*H26/100</f>
        <v>16200</v>
      </c>
      <c r="K26">
        <f>H26+J26</f>
        <v>106200</v>
      </c>
    </row>
    <row r="27" spans="1:11" x14ac:dyDescent="0.3">
      <c r="A27">
        <v>302</v>
      </c>
      <c r="B27" t="s">
        <v>15</v>
      </c>
      <c r="C27" t="s">
        <v>16</v>
      </c>
      <c r="D27" t="s">
        <v>17</v>
      </c>
      <c r="E27">
        <v>5</v>
      </c>
      <c r="F27">
        <v>15000</v>
      </c>
      <c r="G27" t="s">
        <v>18</v>
      </c>
      <c r="H27">
        <f t="shared" ref="H27:H31" si="3">E27*F27</f>
        <v>75000</v>
      </c>
      <c r="I27">
        <v>12</v>
      </c>
      <c r="J27">
        <f t="shared" ref="J27:J31" si="4">I27*H27/100</f>
        <v>9000</v>
      </c>
      <c r="K27">
        <f t="shared" ref="K27:K31" si="5">H27+J27</f>
        <v>84000</v>
      </c>
    </row>
    <row r="28" spans="1:11" x14ac:dyDescent="0.3">
      <c r="A28">
        <v>303</v>
      </c>
      <c r="B28" t="s">
        <v>19</v>
      </c>
      <c r="C28" t="s">
        <v>20</v>
      </c>
      <c r="D28" t="s">
        <v>21</v>
      </c>
      <c r="E28">
        <v>3</v>
      </c>
      <c r="F28">
        <v>18000</v>
      </c>
      <c r="G28" t="s">
        <v>22</v>
      </c>
      <c r="H28">
        <f t="shared" si="3"/>
        <v>54000</v>
      </c>
      <c r="I28">
        <v>12</v>
      </c>
      <c r="J28">
        <f t="shared" si="4"/>
        <v>6480</v>
      </c>
      <c r="K28">
        <f t="shared" si="5"/>
        <v>60480</v>
      </c>
    </row>
    <row r="29" spans="1:11" x14ac:dyDescent="0.3">
      <c r="A29">
        <v>304</v>
      </c>
      <c r="B29" t="s">
        <v>23</v>
      </c>
      <c r="C29" t="s">
        <v>24</v>
      </c>
      <c r="D29" t="s">
        <v>13</v>
      </c>
      <c r="E29">
        <v>1</v>
      </c>
      <c r="F29">
        <v>45000</v>
      </c>
      <c r="G29" t="s">
        <v>25</v>
      </c>
      <c r="H29">
        <f t="shared" si="3"/>
        <v>45000</v>
      </c>
      <c r="I29">
        <v>18</v>
      </c>
      <c r="J29">
        <f t="shared" si="4"/>
        <v>8100</v>
      </c>
      <c r="K29">
        <f t="shared" si="5"/>
        <v>53100</v>
      </c>
    </row>
    <row r="30" spans="1:11" x14ac:dyDescent="0.3">
      <c r="A30">
        <v>305</v>
      </c>
      <c r="B30" t="s">
        <v>11</v>
      </c>
      <c r="C30" t="s">
        <v>12</v>
      </c>
      <c r="D30" t="s">
        <v>17</v>
      </c>
      <c r="E30">
        <v>4</v>
      </c>
      <c r="F30">
        <v>15000</v>
      </c>
      <c r="G30" t="s">
        <v>26</v>
      </c>
      <c r="H30">
        <f t="shared" si="3"/>
        <v>60000</v>
      </c>
      <c r="I30">
        <v>12</v>
      </c>
      <c r="J30">
        <f t="shared" si="4"/>
        <v>7200</v>
      </c>
      <c r="K30">
        <f t="shared" si="5"/>
        <v>67200</v>
      </c>
    </row>
    <row r="31" spans="1:11" x14ac:dyDescent="0.3">
      <c r="A31">
        <v>306</v>
      </c>
      <c r="B31" t="s">
        <v>15</v>
      </c>
      <c r="C31" t="s">
        <v>16</v>
      </c>
      <c r="D31" t="s">
        <v>13</v>
      </c>
      <c r="E31">
        <v>2</v>
      </c>
      <c r="F31">
        <v>45000</v>
      </c>
      <c r="G31" t="s">
        <v>27</v>
      </c>
      <c r="H31">
        <f t="shared" si="3"/>
        <v>90000</v>
      </c>
      <c r="I31">
        <v>18</v>
      </c>
      <c r="J31">
        <f t="shared" si="4"/>
        <v>16200</v>
      </c>
      <c r="K31">
        <f t="shared" si="5"/>
        <v>106200</v>
      </c>
    </row>
    <row r="34" spans="1:3" x14ac:dyDescent="0.3">
      <c r="A34" s="10" t="s">
        <v>76</v>
      </c>
    </row>
    <row r="35" spans="1:3" x14ac:dyDescent="0.3">
      <c r="A35" s="9" t="s">
        <v>45</v>
      </c>
      <c r="B35" s="9"/>
    </row>
    <row r="36" spans="1:3" x14ac:dyDescent="0.3">
      <c r="A36" s="4" t="s">
        <v>100</v>
      </c>
      <c r="B36" s="11">
        <f>SUM(K26:K31)</f>
        <v>477180</v>
      </c>
    </row>
    <row r="41" spans="1:3" x14ac:dyDescent="0.3">
      <c r="A41" s="10" t="s">
        <v>78</v>
      </c>
    </row>
    <row r="42" spans="1:3" x14ac:dyDescent="0.3">
      <c r="A42" s="9" t="s">
        <v>46</v>
      </c>
      <c r="B42" s="9"/>
      <c r="C42" s="9"/>
    </row>
    <row r="43" spans="1:3" x14ac:dyDescent="0.3">
      <c r="A43" s="1" t="s">
        <v>77</v>
      </c>
      <c r="B43">
        <f>COUNTA(A4:A9)</f>
        <v>6</v>
      </c>
    </row>
    <row r="46" spans="1:3" x14ac:dyDescent="0.3">
      <c r="A46" s="10" t="s">
        <v>79</v>
      </c>
    </row>
    <row r="47" spans="1:3" x14ac:dyDescent="0.3">
      <c r="A47" s="9" t="s">
        <v>47</v>
      </c>
      <c r="B47" s="9"/>
    </row>
    <row r="48" spans="1:3" x14ac:dyDescent="0.3">
      <c r="A48" t="s">
        <v>80</v>
      </c>
      <c r="B48" s="1" t="s">
        <v>81</v>
      </c>
      <c r="C48">
        <f>SUMIF($B$4:$B$9,B4,$H$4:$H$9)</f>
        <v>150000</v>
      </c>
    </row>
    <row r="49" spans="1:9" x14ac:dyDescent="0.3">
      <c r="B49" s="1" t="s">
        <v>82</v>
      </c>
      <c r="C49">
        <f>SUMIF($B$4:$B$9,B5,$H$4:$H$9)</f>
        <v>165000</v>
      </c>
    </row>
    <row r="50" spans="1:9" x14ac:dyDescent="0.3">
      <c r="B50" s="1" t="s">
        <v>83</v>
      </c>
      <c r="C50">
        <f>SUMIF(B4:$B$9,B6,$H$4:$H$9)</f>
        <v>54000</v>
      </c>
    </row>
    <row r="51" spans="1:9" x14ac:dyDescent="0.3">
      <c r="B51" s="1" t="s">
        <v>84</v>
      </c>
      <c r="C51">
        <f>SUMIF($B$4:$B$9,B7,$H$4:$H$9)</f>
        <v>45000</v>
      </c>
    </row>
    <row r="54" spans="1:9" x14ac:dyDescent="0.3">
      <c r="A54" s="10" t="s">
        <v>85</v>
      </c>
    </row>
    <row r="55" spans="1:9" x14ac:dyDescent="0.3">
      <c r="A55" s="9" t="s">
        <v>48</v>
      </c>
      <c r="B55" s="9"/>
      <c r="C55" s="9"/>
    </row>
    <row r="56" spans="1:9" x14ac:dyDescent="0.3">
      <c r="A56" t="s">
        <v>4</v>
      </c>
      <c r="B56" t="s">
        <v>5</v>
      </c>
      <c r="C56" t="s">
        <v>6</v>
      </c>
      <c r="D56" t="s">
        <v>7</v>
      </c>
      <c r="E56" t="s">
        <v>8</v>
      </c>
      <c r="F56" t="s">
        <v>9</v>
      </c>
      <c r="G56" t="s">
        <v>10</v>
      </c>
      <c r="H56" s="1" t="s">
        <v>103</v>
      </c>
      <c r="I56" s="1"/>
    </row>
    <row r="57" spans="1:9" x14ac:dyDescent="0.3">
      <c r="A57">
        <v>301</v>
      </c>
      <c r="B57" t="s">
        <v>11</v>
      </c>
      <c r="C57" t="s">
        <v>12</v>
      </c>
      <c r="D57" t="s">
        <v>13</v>
      </c>
      <c r="E57">
        <v>2</v>
      </c>
      <c r="F57">
        <v>45000</v>
      </c>
      <c r="G57" t="s">
        <v>14</v>
      </c>
      <c r="H57" t="str">
        <f>IF(E57&gt;3,"High","Low")</f>
        <v>Low</v>
      </c>
    </row>
    <row r="58" spans="1:9" x14ac:dyDescent="0.3">
      <c r="A58">
        <v>302</v>
      </c>
      <c r="B58" t="s">
        <v>15</v>
      </c>
      <c r="C58" t="s">
        <v>16</v>
      </c>
      <c r="D58" t="s">
        <v>17</v>
      </c>
      <c r="E58">
        <v>5</v>
      </c>
      <c r="F58">
        <v>15000</v>
      </c>
      <c r="G58" t="s">
        <v>18</v>
      </c>
      <c r="H58" t="str">
        <f t="shared" ref="H58:H62" si="6">IF(E58&gt;3,"High","Low")</f>
        <v>High</v>
      </c>
    </row>
    <row r="59" spans="1:9" x14ac:dyDescent="0.3">
      <c r="A59" s="5">
        <v>303</v>
      </c>
      <c r="B59" t="s">
        <v>19</v>
      </c>
      <c r="C59" t="s">
        <v>20</v>
      </c>
      <c r="D59" t="s">
        <v>21</v>
      </c>
      <c r="E59">
        <v>3</v>
      </c>
      <c r="F59">
        <v>18000</v>
      </c>
      <c r="G59" t="s">
        <v>22</v>
      </c>
      <c r="H59" t="str">
        <f t="shared" si="6"/>
        <v>Low</v>
      </c>
    </row>
    <row r="60" spans="1:9" x14ac:dyDescent="0.3">
      <c r="A60">
        <v>304</v>
      </c>
      <c r="B60" t="s">
        <v>23</v>
      </c>
      <c r="C60" t="s">
        <v>24</v>
      </c>
      <c r="D60" t="s">
        <v>13</v>
      </c>
      <c r="E60">
        <v>1</v>
      </c>
      <c r="F60">
        <v>45000</v>
      </c>
      <c r="G60" t="s">
        <v>25</v>
      </c>
      <c r="H60" t="str">
        <f t="shared" si="6"/>
        <v>Low</v>
      </c>
    </row>
    <row r="61" spans="1:9" x14ac:dyDescent="0.3">
      <c r="A61">
        <v>305</v>
      </c>
      <c r="B61" t="s">
        <v>11</v>
      </c>
      <c r="C61" t="s">
        <v>12</v>
      </c>
      <c r="D61" t="s">
        <v>17</v>
      </c>
      <c r="E61">
        <v>4</v>
      </c>
      <c r="F61">
        <v>15000</v>
      </c>
      <c r="G61" t="s">
        <v>26</v>
      </c>
      <c r="H61" t="str">
        <f t="shared" si="6"/>
        <v>High</v>
      </c>
    </row>
    <row r="62" spans="1:9" x14ac:dyDescent="0.3">
      <c r="A62">
        <v>306</v>
      </c>
      <c r="B62" t="s">
        <v>15</v>
      </c>
      <c r="C62" t="s">
        <v>16</v>
      </c>
      <c r="D62" t="s">
        <v>13</v>
      </c>
      <c r="E62">
        <v>2</v>
      </c>
      <c r="F62">
        <v>45000</v>
      </c>
      <c r="G62" t="s">
        <v>27</v>
      </c>
      <c r="H62" t="str">
        <f t="shared" si="6"/>
        <v>Low</v>
      </c>
    </row>
    <row r="65" spans="1:8" x14ac:dyDescent="0.3">
      <c r="A65" s="10" t="s">
        <v>86</v>
      </c>
    </row>
    <row r="66" spans="1:8" x14ac:dyDescent="0.3">
      <c r="A66" s="9" t="s">
        <v>49</v>
      </c>
      <c r="B66" s="2"/>
      <c r="C66" s="9"/>
    </row>
    <row r="67" spans="1:8" x14ac:dyDescent="0.3">
      <c r="A67" s="4" t="s">
        <v>101</v>
      </c>
      <c r="B67">
        <f>MAX(K26:K31)</f>
        <v>106200</v>
      </c>
    </row>
    <row r="68" spans="1:8" x14ac:dyDescent="0.3">
      <c r="A68" s="4" t="s">
        <v>102</v>
      </c>
      <c r="B68" s="2">
        <f>MIN(K26:K31)</f>
        <v>53100</v>
      </c>
    </row>
    <row r="71" spans="1:8" x14ac:dyDescent="0.3">
      <c r="A71" s="10" t="s">
        <v>87</v>
      </c>
      <c r="B71" s="10"/>
    </row>
    <row r="72" spans="1:8" x14ac:dyDescent="0.3">
      <c r="A72" s="9" t="s">
        <v>50</v>
      </c>
      <c r="B72" s="9"/>
    </row>
    <row r="73" spans="1:8" x14ac:dyDescent="0.3">
      <c r="A73" t="s">
        <v>4</v>
      </c>
      <c r="B73" t="s">
        <v>5</v>
      </c>
      <c r="C73" t="s">
        <v>6</v>
      </c>
      <c r="D73" t="s">
        <v>7</v>
      </c>
      <c r="E73" t="s">
        <v>8</v>
      </c>
      <c r="F73" t="s">
        <v>9</v>
      </c>
      <c r="G73" t="s">
        <v>10</v>
      </c>
      <c r="H73" s="1" t="s">
        <v>88</v>
      </c>
    </row>
    <row r="74" spans="1:8" x14ac:dyDescent="0.3">
      <c r="A74">
        <v>301</v>
      </c>
      <c r="B74" t="s">
        <v>11</v>
      </c>
      <c r="C74" t="s">
        <v>12</v>
      </c>
      <c r="D74" t="s">
        <v>13</v>
      </c>
      <c r="E74">
        <v>2</v>
      </c>
      <c r="F74">
        <v>45000</v>
      </c>
      <c r="G74" t="s">
        <v>14</v>
      </c>
      <c r="H74">
        <f>MONTH(G74)</f>
        <v>1</v>
      </c>
    </row>
    <row r="75" spans="1:8" x14ac:dyDescent="0.3">
      <c r="A75">
        <v>302</v>
      </c>
      <c r="B75" t="s">
        <v>15</v>
      </c>
      <c r="C75" t="s">
        <v>16</v>
      </c>
      <c r="D75" t="s">
        <v>17</v>
      </c>
      <c r="E75">
        <v>5</v>
      </c>
      <c r="F75">
        <v>15000</v>
      </c>
      <c r="G75" t="s">
        <v>18</v>
      </c>
      <c r="H75">
        <f t="shared" ref="H75:H79" si="7">MONTH(G75)</f>
        <v>1</v>
      </c>
    </row>
    <row r="76" spans="1:8" x14ac:dyDescent="0.3">
      <c r="A76">
        <v>303</v>
      </c>
      <c r="B76" t="s">
        <v>19</v>
      </c>
      <c r="C76" t="s">
        <v>20</v>
      </c>
      <c r="D76" t="s">
        <v>21</v>
      </c>
      <c r="E76">
        <v>3</v>
      </c>
      <c r="F76">
        <v>18000</v>
      </c>
      <c r="G76" t="s">
        <v>22</v>
      </c>
      <c r="H76">
        <f t="shared" si="7"/>
        <v>1</v>
      </c>
    </row>
    <row r="77" spans="1:8" x14ac:dyDescent="0.3">
      <c r="A77">
        <v>304</v>
      </c>
      <c r="B77" t="s">
        <v>23</v>
      </c>
      <c r="C77" t="s">
        <v>24</v>
      </c>
      <c r="D77" t="s">
        <v>13</v>
      </c>
      <c r="E77">
        <v>1</v>
      </c>
      <c r="F77">
        <v>45000</v>
      </c>
      <c r="G77" t="s">
        <v>25</v>
      </c>
      <c r="H77">
        <f t="shared" si="7"/>
        <v>1</v>
      </c>
    </row>
    <row r="78" spans="1:8" x14ac:dyDescent="0.3">
      <c r="A78">
        <v>305</v>
      </c>
      <c r="B78" t="s">
        <v>11</v>
      </c>
      <c r="C78" t="s">
        <v>12</v>
      </c>
      <c r="D78" t="s">
        <v>17</v>
      </c>
      <c r="E78">
        <v>4</v>
      </c>
      <c r="F78">
        <v>15000</v>
      </c>
      <c r="G78" t="s">
        <v>26</v>
      </c>
      <c r="H78">
        <f t="shared" si="7"/>
        <v>1</v>
      </c>
    </row>
    <row r="79" spans="1:8" x14ac:dyDescent="0.3">
      <c r="A79">
        <v>306</v>
      </c>
      <c r="B79" t="s">
        <v>15</v>
      </c>
      <c r="C79" t="s">
        <v>16</v>
      </c>
      <c r="D79" t="s">
        <v>13</v>
      </c>
      <c r="E79">
        <v>2</v>
      </c>
      <c r="F79">
        <v>45000</v>
      </c>
      <c r="G79" t="s">
        <v>27</v>
      </c>
      <c r="H79">
        <f t="shared" si="7"/>
        <v>1</v>
      </c>
    </row>
    <row r="81" spans="1:8" x14ac:dyDescent="0.3">
      <c r="A81" s="10" t="s">
        <v>89</v>
      </c>
    </row>
    <row r="82" spans="1:8" x14ac:dyDescent="0.3">
      <c r="A82" s="9" t="s">
        <v>51</v>
      </c>
      <c r="B82" s="9"/>
      <c r="C82" s="9"/>
    </row>
    <row r="83" spans="1:8" x14ac:dyDescent="0.3">
      <c r="A83" s="1" t="s">
        <v>104</v>
      </c>
      <c r="B83" s="4" t="s">
        <v>99</v>
      </c>
    </row>
    <row r="84" spans="1:8" x14ac:dyDescent="0.3">
      <c r="B84" s="6">
        <v>106200</v>
      </c>
    </row>
    <row r="85" spans="1:8" x14ac:dyDescent="0.3">
      <c r="B85">
        <v>84000</v>
      </c>
    </row>
    <row r="86" spans="1:8" x14ac:dyDescent="0.3">
      <c r="B86">
        <v>60480</v>
      </c>
    </row>
    <row r="88" spans="1:8" x14ac:dyDescent="0.3">
      <c r="A88" s="10" t="s">
        <v>90</v>
      </c>
    </row>
    <row r="89" spans="1:8" x14ac:dyDescent="0.3">
      <c r="A89" s="9" t="s">
        <v>52</v>
      </c>
      <c r="B89" s="9"/>
      <c r="C89" s="9"/>
    </row>
    <row r="90" spans="1:8" x14ac:dyDescent="0.3">
      <c r="A90" t="s">
        <v>4</v>
      </c>
      <c r="B90" t="s">
        <v>5</v>
      </c>
      <c r="C90" t="s">
        <v>6</v>
      </c>
      <c r="D90" t="s">
        <v>7</v>
      </c>
      <c r="E90" t="s">
        <v>8</v>
      </c>
      <c r="F90" t="s">
        <v>9</v>
      </c>
      <c r="G90" t="s">
        <v>10</v>
      </c>
      <c r="H90" s="1" t="s">
        <v>141</v>
      </c>
    </row>
    <row r="91" spans="1:8" x14ac:dyDescent="0.3">
      <c r="A91">
        <v>301</v>
      </c>
      <c r="B91" t="s">
        <v>11</v>
      </c>
      <c r="C91" t="s">
        <v>12</v>
      </c>
      <c r="D91" t="s">
        <v>13</v>
      </c>
      <c r="E91">
        <v>2</v>
      </c>
      <c r="F91">
        <v>45000</v>
      </c>
      <c r="G91" t="s">
        <v>14</v>
      </c>
      <c r="H91" t="str">
        <f>INDEX(Product_Master!$B$2:$B$4,MATCH('Ans '!D91,Product_Master!$A$2:$A$4,0))</f>
        <v>Electronics</v>
      </c>
    </row>
    <row r="92" spans="1:8" x14ac:dyDescent="0.3">
      <c r="A92">
        <v>306</v>
      </c>
      <c r="B92" t="s">
        <v>15</v>
      </c>
      <c r="C92" t="s">
        <v>16</v>
      </c>
      <c r="D92" t="s">
        <v>13</v>
      </c>
      <c r="E92">
        <v>2</v>
      </c>
      <c r="F92">
        <v>45000</v>
      </c>
      <c r="G92" t="s">
        <v>27</v>
      </c>
      <c r="H92" t="str">
        <f>INDEX(Product_Master!$B$2:$B$4,MATCH('Ans '!D92,Product_Master!$A$2:$A$4,0))</f>
        <v>Electronics</v>
      </c>
    </row>
    <row r="93" spans="1:8" x14ac:dyDescent="0.3">
      <c r="A93">
        <v>302</v>
      </c>
      <c r="B93" t="s">
        <v>15</v>
      </c>
      <c r="C93" t="s">
        <v>16</v>
      </c>
      <c r="D93" t="s">
        <v>17</v>
      </c>
      <c r="E93">
        <v>5</v>
      </c>
      <c r="F93">
        <v>15000</v>
      </c>
      <c r="G93" t="s">
        <v>18</v>
      </c>
      <c r="H93" t="str">
        <f>INDEX(Product_Master!$B$2:$B$4,MATCH('Ans '!D93,Product_Master!$A$2:$A$4,0))</f>
        <v>Electronics</v>
      </c>
    </row>
    <row r="94" spans="1:8" x14ac:dyDescent="0.3">
      <c r="A94">
        <v>305</v>
      </c>
      <c r="B94" t="s">
        <v>11</v>
      </c>
      <c r="C94" t="s">
        <v>12</v>
      </c>
      <c r="D94" t="s">
        <v>17</v>
      </c>
      <c r="E94">
        <v>4</v>
      </c>
      <c r="F94">
        <v>15000</v>
      </c>
      <c r="G94" t="s">
        <v>26</v>
      </c>
      <c r="H94" t="str">
        <f>INDEX(Product_Master!$B$2:$B$4,MATCH('Ans '!D94,Product_Master!$A$2:$A$4,0))</f>
        <v>Electronics</v>
      </c>
    </row>
    <row r="95" spans="1:8" x14ac:dyDescent="0.3">
      <c r="A95">
        <v>303</v>
      </c>
      <c r="B95" t="s">
        <v>19</v>
      </c>
      <c r="C95" t="s">
        <v>20</v>
      </c>
      <c r="D95" t="s">
        <v>21</v>
      </c>
      <c r="E95">
        <v>3</v>
      </c>
      <c r="F95">
        <v>18000</v>
      </c>
      <c r="G95" t="s">
        <v>22</v>
      </c>
      <c r="H95" t="str">
        <f>INDEX(Product_Master!$B$2:$B$4,MATCH('Ans '!D95,Product_Master!$A$2:$A$4,0))</f>
        <v>Electronics</v>
      </c>
    </row>
    <row r="96" spans="1:8" x14ac:dyDescent="0.3">
      <c r="A96">
        <v>304</v>
      </c>
      <c r="B96" t="s">
        <v>23</v>
      </c>
      <c r="C96" t="s">
        <v>24</v>
      </c>
      <c r="D96" t="s">
        <v>13</v>
      </c>
      <c r="E96">
        <v>1</v>
      </c>
      <c r="F96">
        <v>45000</v>
      </c>
      <c r="G96" t="s">
        <v>25</v>
      </c>
      <c r="H96" t="str">
        <f>INDEX(Product_Master!$B$2:$B$4,MATCH('Ans '!D96,Product_Master!$A$2:$A$4,0))</f>
        <v>Electronics</v>
      </c>
    </row>
    <row r="98" spans="1:7" x14ac:dyDescent="0.3">
      <c r="A98" s="10" t="s">
        <v>91</v>
      </c>
    </row>
    <row r="99" spans="1:7" x14ac:dyDescent="0.3">
      <c r="A99" s="9" t="s">
        <v>53</v>
      </c>
      <c r="B99" s="9"/>
    </row>
    <row r="100" spans="1:7" x14ac:dyDescent="0.3">
      <c r="A100" t="s">
        <v>31</v>
      </c>
      <c r="B100" t="s">
        <v>32</v>
      </c>
      <c r="C100" t="s">
        <v>33</v>
      </c>
      <c r="D100" t="s">
        <v>34</v>
      </c>
      <c r="E100" t="s">
        <v>35</v>
      </c>
      <c r="F100" t="s">
        <v>36</v>
      </c>
      <c r="G100" s="1" t="s">
        <v>92</v>
      </c>
    </row>
    <row r="101" spans="1:7" x14ac:dyDescent="0.3">
      <c r="A101">
        <v>1</v>
      </c>
      <c r="B101" t="s">
        <v>37</v>
      </c>
      <c r="C101">
        <v>78</v>
      </c>
      <c r="D101">
        <v>82</v>
      </c>
      <c r="E101">
        <v>85</v>
      </c>
      <c r="F101">
        <v>92</v>
      </c>
      <c r="G101" s="3">
        <f>AVERAGE(C101,D101,E101)</f>
        <v>81.666666666666671</v>
      </c>
    </row>
    <row r="102" spans="1:7" x14ac:dyDescent="0.3">
      <c r="A102">
        <v>2</v>
      </c>
      <c r="B102" t="s">
        <v>38</v>
      </c>
      <c r="C102">
        <v>88</v>
      </c>
      <c r="D102">
        <v>91</v>
      </c>
      <c r="E102">
        <v>90</v>
      </c>
      <c r="F102">
        <v>96</v>
      </c>
      <c r="G102" s="3">
        <f t="shared" ref="G102:G105" si="8">AVERAGE(C102,D102,E102)</f>
        <v>89.666666666666671</v>
      </c>
    </row>
    <row r="103" spans="1:7" x14ac:dyDescent="0.3">
      <c r="A103">
        <v>3</v>
      </c>
      <c r="B103" t="s">
        <v>39</v>
      </c>
      <c r="C103">
        <v>65</v>
      </c>
      <c r="D103">
        <v>70</v>
      </c>
      <c r="E103">
        <v>72</v>
      </c>
      <c r="F103">
        <v>85</v>
      </c>
      <c r="G103" s="3">
        <f t="shared" si="8"/>
        <v>69</v>
      </c>
    </row>
    <row r="104" spans="1:7" x14ac:dyDescent="0.3">
      <c r="A104">
        <v>4</v>
      </c>
      <c r="B104" t="s">
        <v>40</v>
      </c>
      <c r="C104">
        <v>92</v>
      </c>
      <c r="D104">
        <v>89</v>
      </c>
      <c r="E104">
        <v>94</v>
      </c>
      <c r="F104">
        <v>98</v>
      </c>
      <c r="G104" s="3">
        <f t="shared" si="8"/>
        <v>91.666666666666671</v>
      </c>
    </row>
    <row r="105" spans="1:7" x14ac:dyDescent="0.3">
      <c r="A105">
        <v>5</v>
      </c>
      <c r="B105" t="s">
        <v>41</v>
      </c>
      <c r="C105">
        <v>55</v>
      </c>
      <c r="D105">
        <v>60</v>
      </c>
      <c r="E105">
        <v>58</v>
      </c>
      <c r="F105">
        <v>80</v>
      </c>
      <c r="G105" s="3">
        <f t="shared" si="8"/>
        <v>57.666666666666664</v>
      </c>
    </row>
    <row r="107" spans="1:7" x14ac:dyDescent="0.3">
      <c r="A107" s="10" t="s">
        <v>93</v>
      </c>
    </row>
    <row r="108" spans="1:7" x14ac:dyDescent="0.3">
      <c r="A108" s="9" t="s">
        <v>54</v>
      </c>
      <c r="B108" s="9"/>
      <c r="D108" s="1" t="s">
        <v>129</v>
      </c>
      <c r="E108" s="10" t="s">
        <v>140</v>
      </c>
    </row>
    <row r="109" spans="1:7" x14ac:dyDescent="0.3">
      <c r="D109" s="1">
        <v>81.666666666666671</v>
      </c>
      <c r="E109">
        <f>MAX(D109:D113)</f>
        <v>91.666666666666671</v>
      </c>
    </row>
    <row r="110" spans="1:7" x14ac:dyDescent="0.3">
      <c r="D110" s="1">
        <v>89.666666666666671</v>
      </c>
    </row>
    <row r="111" spans="1:7" x14ac:dyDescent="0.3">
      <c r="D111" s="1">
        <v>69</v>
      </c>
    </row>
    <row r="112" spans="1:7" x14ac:dyDescent="0.3">
      <c r="D112" s="1">
        <v>91.666666666666671</v>
      </c>
    </row>
    <row r="113" spans="1:7" x14ac:dyDescent="0.3">
      <c r="D113" s="1">
        <v>57.666666666666664</v>
      </c>
    </row>
    <row r="115" spans="1:7" x14ac:dyDescent="0.3">
      <c r="A115" s="10" t="s">
        <v>94</v>
      </c>
    </row>
    <row r="116" spans="1:7" x14ac:dyDescent="0.3">
      <c r="A116" s="9" t="s">
        <v>55</v>
      </c>
      <c r="B116" s="9"/>
      <c r="C116" s="9"/>
    </row>
    <row r="117" spans="1:7" x14ac:dyDescent="0.3">
      <c r="A117" s="1" t="s">
        <v>95</v>
      </c>
      <c r="B117">
        <f>COUNTIF(F101:F105,"&gt;90")</f>
        <v>3</v>
      </c>
    </row>
    <row r="120" spans="1:7" x14ac:dyDescent="0.3">
      <c r="A120" s="10" t="s">
        <v>96</v>
      </c>
    </row>
    <row r="121" spans="1:7" x14ac:dyDescent="0.3">
      <c r="A121" s="9" t="s">
        <v>56</v>
      </c>
      <c r="B121" s="9"/>
      <c r="C121" s="9"/>
      <c r="D121" s="9"/>
    </row>
    <row r="122" spans="1:7" x14ac:dyDescent="0.3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36</v>
      </c>
      <c r="G122" s="1" t="s">
        <v>97</v>
      </c>
    </row>
    <row r="123" spans="1:7" x14ac:dyDescent="0.3">
      <c r="A123">
        <v>1</v>
      </c>
      <c r="B123" t="s">
        <v>37</v>
      </c>
      <c r="C123">
        <v>78</v>
      </c>
      <c r="D123">
        <v>82</v>
      </c>
      <c r="E123">
        <v>85</v>
      </c>
      <c r="F123">
        <v>92</v>
      </c>
      <c r="G123" t="str">
        <f>IF(F123&gt;=85,"Eligible","Not Eligible")</f>
        <v>Eligible</v>
      </c>
    </row>
    <row r="124" spans="1:7" x14ac:dyDescent="0.3">
      <c r="A124">
        <v>2</v>
      </c>
      <c r="B124" t="s">
        <v>38</v>
      </c>
      <c r="C124">
        <v>88</v>
      </c>
      <c r="D124">
        <v>91</v>
      </c>
      <c r="E124">
        <v>90</v>
      </c>
      <c r="F124">
        <v>96</v>
      </c>
      <c r="G124" t="str">
        <f t="shared" ref="G124:G127" si="9">IF(F124&gt;=85,"Eligible","Not Eligible")</f>
        <v>Eligible</v>
      </c>
    </row>
    <row r="125" spans="1:7" x14ac:dyDescent="0.3">
      <c r="A125">
        <v>3</v>
      </c>
      <c r="B125" t="s">
        <v>39</v>
      </c>
      <c r="C125">
        <v>65</v>
      </c>
      <c r="D125">
        <v>70</v>
      </c>
      <c r="E125">
        <v>72</v>
      </c>
      <c r="F125">
        <v>85</v>
      </c>
      <c r="G125" t="str">
        <f t="shared" si="9"/>
        <v>Eligible</v>
      </c>
    </row>
    <row r="126" spans="1:7" x14ac:dyDescent="0.3">
      <c r="A126">
        <v>4</v>
      </c>
      <c r="B126" t="s">
        <v>40</v>
      </c>
      <c r="C126">
        <v>92</v>
      </c>
      <c r="D126">
        <v>89</v>
      </c>
      <c r="E126">
        <v>94</v>
      </c>
      <c r="F126">
        <v>98</v>
      </c>
      <c r="G126" t="str">
        <f t="shared" si="9"/>
        <v>Eligible</v>
      </c>
    </row>
    <row r="127" spans="1:7" x14ac:dyDescent="0.3">
      <c r="A127">
        <v>5</v>
      </c>
      <c r="B127" t="s">
        <v>41</v>
      </c>
      <c r="C127">
        <v>55</v>
      </c>
      <c r="D127">
        <v>60</v>
      </c>
      <c r="E127">
        <v>58</v>
      </c>
      <c r="F127">
        <v>80</v>
      </c>
      <c r="G127" t="str">
        <f t="shared" si="9"/>
        <v>Not Eligible</v>
      </c>
    </row>
    <row r="130" spans="1:8" x14ac:dyDescent="0.3">
      <c r="A130" s="10" t="s">
        <v>98</v>
      </c>
    </row>
    <row r="131" spans="1:8" x14ac:dyDescent="0.3">
      <c r="A131" s="9" t="s">
        <v>57</v>
      </c>
      <c r="B131" s="9"/>
      <c r="C131" s="9"/>
    </row>
    <row r="132" spans="1:8" x14ac:dyDescent="0.3">
      <c r="A132" t="s">
        <v>4</v>
      </c>
      <c r="B132" t="s">
        <v>5</v>
      </c>
      <c r="C132" t="s">
        <v>6</v>
      </c>
      <c r="D132" t="s">
        <v>7</v>
      </c>
      <c r="E132" t="s">
        <v>8</v>
      </c>
      <c r="F132" t="s">
        <v>9</v>
      </c>
      <c r="G132" t="s">
        <v>10</v>
      </c>
      <c r="H132" s="1" t="s">
        <v>74</v>
      </c>
    </row>
    <row r="133" spans="1:8" x14ac:dyDescent="0.3">
      <c r="A133">
        <v>301</v>
      </c>
      <c r="B133" t="s">
        <v>11</v>
      </c>
      <c r="C133" t="s">
        <v>12</v>
      </c>
      <c r="D133" t="s">
        <v>13</v>
      </c>
      <c r="E133">
        <v>2</v>
      </c>
      <c r="F133">
        <v>45000</v>
      </c>
      <c r="G133" t="s">
        <v>14</v>
      </c>
      <c r="H133">
        <f>E133*F133</f>
        <v>90000</v>
      </c>
    </row>
    <row r="134" spans="1:8" x14ac:dyDescent="0.3">
      <c r="A134">
        <v>302</v>
      </c>
      <c r="B134" t="s">
        <v>15</v>
      </c>
      <c r="C134" t="s">
        <v>16</v>
      </c>
      <c r="D134" t="s">
        <v>17</v>
      </c>
      <c r="E134">
        <v>5</v>
      </c>
      <c r="F134">
        <v>15000</v>
      </c>
      <c r="G134" t="s">
        <v>18</v>
      </c>
      <c r="H134">
        <f t="shared" ref="H134:H138" si="10">E134*F134</f>
        <v>75000</v>
      </c>
    </row>
    <row r="135" spans="1:8" x14ac:dyDescent="0.3">
      <c r="A135">
        <v>303</v>
      </c>
      <c r="B135" t="s">
        <v>19</v>
      </c>
      <c r="C135" t="s">
        <v>20</v>
      </c>
      <c r="D135" t="s">
        <v>21</v>
      </c>
      <c r="E135">
        <v>3</v>
      </c>
      <c r="F135">
        <v>18000</v>
      </c>
      <c r="G135" t="s">
        <v>22</v>
      </c>
      <c r="H135">
        <f t="shared" si="10"/>
        <v>54000</v>
      </c>
    </row>
    <row r="136" spans="1:8" x14ac:dyDescent="0.3">
      <c r="A136">
        <v>304</v>
      </c>
      <c r="B136" t="s">
        <v>23</v>
      </c>
      <c r="C136" t="s">
        <v>24</v>
      </c>
      <c r="D136" t="s">
        <v>13</v>
      </c>
      <c r="E136">
        <v>1</v>
      </c>
      <c r="F136">
        <v>45000</v>
      </c>
      <c r="G136" t="s">
        <v>25</v>
      </c>
      <c r="H136">
        <f t="shared" si="10"/>
        <v>45000</v>
      </c>
    </row>
    <row r="137" spans="1:8" x14ac:dyDescent="0.3">
      <c r="A137">
        <v>305</v>
      </c>
      <c r="B137" t="s">
        <v>11</v>
      </c>
      <c r="C137" t="s">
        <v>12</v>
      </c>
      <c r="D137" t="s">
        <v>17</v>
      </c>
      <c r="E137">
        <v>4</v>
      </c>
      <c r="F137">
        <v>15000</v>
      </c>
      <c r="G137" t="s">
        <v>26</v>
      </c>
      <c r="H137">
        <f t="shared" si="10"/>
        <v>60000</v>
      </c>
    </row>
    <row r="138" spans="1:8" x14ac:dyDescent="0.3">
      <c r="A138">
        <v>306</v>
      </c>
      <c r="B138" t="s">
        <v>15</v>
      </c>
      <c r="C138" t="s">
        <v>16</v>
      </c>
      <c r="D138" t="s">
        <v>13</v>
      </c>
      <c r="E138">
        <v>2</v>
      </c>
      <c r="F138">
        <v>45000</v>
      </c>
      <c r="G138" t="s">
        <v>27</v>
      </c>
      <c r="H138">
        <f t="shared" si="10"/>
        <v>90000</v>
      </c>
    </row>
    <row r="140" spans="1:8" x14ac:dyDescent="0.3">
      <c r="A140" s="1" t="s">
        <v>108</v>
      </c>
    </row>
    <row r="142" spans="1:8" x14ac:dyDescent="0.3">
      <c r="A142" s="10" t="s">
        <v>107</v>
      </c>
    </row>
    <row r="143" spans="1:8" x14ac:dyDescent="0.3">
      <c r="A143" s="9" t="s">
        <v>58</v>
      </c>
      <c r="B143" s="9"/>
      <c r="C143" s="9"/>
    </row>
    <row r="144" spans="1:8" x14ac:dyDescent="0.3">
      <c r="A144" s="1" t="s">
        <v>108</v>
      </c>
    </row>
    <row r="147" spans="1:6" x14ac:dyDescent="0.3">
      <c r="A147" s="10" t="s">
        <v>109</v>
      </c>
    </row>
    <row r="148" spans="1:6" x14ac:dyDescent="0.3">
      <c r="A148" s="9" t="s">
        <v>59</v>
      </c>
      <c r="B148" s="9"/>
      <c r="C148" s="9"/>
    </row>
    <row r="149" spans="1:6" x14ac:dyDescent="0.3">
      <c r="A149" s="1" t="s">
        <v>120</v>
      </c>
    </row>
    <row r="153" spans="1:6" x14ac:dyDescent="0.3">
      <c r="A153" s="10" t="s">
        <v>110</v>
      </c>
    </row>
    <row r="154" spans="1:6" x14ac:dyDescent="0.3">
      <c r="A154" s="9" t="s">
        <v>60</v>
      </c>
      <c r="B154" s="9"/>
      <c r="C154" s="9"/>
    </row>
    <row r="155" spans="1:6" x14ac:dyDescent="0.3">
      <c r="A155" s="1" t="s">
        <v>118</v>
      </c>
    </row>
    <row r="158" spans="1:6" x14ac:dyDescent="0.3">
      <c r="A158" s="10" t="s">
        <v>112</v>
      </c>
    </row>
    <row r="159" spans="1:6" x14ac:dyDescent="0.3">
      <c r="A159" s="9" t="s">
        <v>61</v>
      </c>
      <c r="B159" s="9"/>
    </row>
    <row r="160" spans="1:6" x14ac:dyDescent="0.3">
      <c r="A160" t="s">
        <v>31</v>
      </c>
      <c r="B160" t="s">
        <v>32</v>
      </c>
      <c r="C160" t="s">
        <v>33</v>
      </c>
      <c r="D160" t="s">
        <v>34</v>
      </c>
      <c r="E160" t="s">
        <v>35</v>
      </c>
      <c r="F160" t="s">
        <v>36</v>
      </c>
    </row>
    <row r="161" spans="1:6" x14ac:dyDescent="0.3">
      <c r="A161">
        <v>1</v>
      </c>
      <c r="B161" t="s">
        <v>37</v>
      </c>
      <c r="C161">
        <v>78</v>
      </c>
      <c r="D161">
        <v>82</v>
      </c>
      <c r="E161">
        <v>85</v>
      </c>
      <c r="F161">
        <v>92</v>
      </c>
    </row>
    <row r="162" spans="1:6" x14ac:dyDescent="0.3">
      <c r="A162">
        <v>2</v>
      </c>
      <c r="B162" t="s">
        <v>38</v>
      </c>
      <c r="C162">
        <v>88</v>
      </c>
      <c r="D162">
        <v>91</v>
      </c>
      <c r="E162">
        <v>90</v>
      </c>
      <c r="F162">
        <v>96</v>
      </c>
    </row>
    <row r="163" spans="1:6" x14ac:dyDescent="0.3">
      <c r="A163">
        <v>3</v>
      </c>
      <c r="B163" t="s">
        <v>39</v>
      </c>
      <c r="C163">
        <v>65</v>
      </c>
      <c r="D163">
        <v>70</v>
      </c>
      <c r="E163">
        <v>72</v>
      </c>
      <c r="F163">
        <v>85</v>
      </c>
    </row>
    <row r="164" spans="1:6" x14ac:dyDescent="0.3">
      <c r="A164">
        <v>4</v>
      </c>
      <c r="B164" t="s">
        <v>40</v>
      </c>
      <c r="C164">
        <v>92</v>
      </c>
      <c r="D164">
        <v>89</v>
      </c>
      <c r="E164">
        <v>94</v>
      </c>
      <c r="F164">
        <v>98</v>
      </c>
    </row>
    <row r="165" spans="1:6" x14ac:dyDescent="0.3">
      <c r="A165">
        <v>5</v>
      </c>
      <c r="B165" t="s">
        <v>41</v>
      </c>
      <c r="C165">
        <v>55</v>
      </c>
      <c r="D165">
        <v>60</v>
      </c>
      <c r="E165">
        <v>58</v>
      </c>
      <c r="F165">
        <v>80</v>
      </c>
    </row>
    <row r="167" spans="1:6" x14ac:dyDescent="0.3">
      <c r="A167" s="4" t="s">
        <v>121</v>
      </c>
      <c r="B167" s="12">
        <f>MEDIAN(D161:D165)</f>
        <v>82</v>
      </c>
    </row>
    <row r="170" spans="1:6" x14ac:dyDescent="0.3">
      <c r="A170" s="10" t="s">
        <v>113</v>
      </c>
    </row>
    <row r="171" spans="1:6" x14ac:dyDescent="0.3">
      <c r="A171" s="9" t="s">
        <v>62</v>
      </c>
      <c r="B171" s="9"/>
    </row>
    <row r="172" spans="1:6" x14ac:dyDescent="0.3">
      <c r="A172" t="s">
        <v>31</v>
      </c>
      <c r="B172" t="s">
        <v>32</v>
      </c>
      <c r="C172" t="s">
        <v>33</v>
      </c>
      <c r="D172" t="s">
        <v>34</v>
      </c>
      <c r="E172" t="s">
        <v>35</v>
      </c>
      <c r="F172" t="s">
        <v>36</v>
      </c>
    </row>
    <row r="173" spans="1:6" x14ac:dyDescent="0.3">
      <c r="A173">
        <v>1</v>
      </c>
      <c r="B173" t="s">
        <v>37</v>
      </c>
      <c r="C173">
        <v>78</v>
      </c>
      <c r="D173">
        <v>82</v>
      </c>
      <c r="E173">
        <v>85</v>
      </c>
      <c r="F173">
        <v>92</v>
      </c>
    </row>
    <row r="174" spans="1:6" x14ac:dyDescent="0.3">
      <c r="A174">
        <v>2</v>
      </c>
      <c r="B174" t="s">
        <v>38</v>
      </c>
      <c r="C174">
        <v>88</v>
      </c>
      <c r="D174">
        <v>91</v>
      </c>
      <c r="E174">
        <v>90</v>
      </c>
      <c r="F174">
        <v>96</v>
      </c>
    </row>
    <row r="175" spans="1:6" x14ac:dyDescent="0.3">
      <c r="A175">
        <v>3</v>
      </c>
      <c r="B175" t="s">
        <v>39</v>
      </c>
      <c r="C175">
        <v>65</v>
      </c>
      <c r="D175">
        <v>70</v>
      </c>
      <c r="E175">
        <v>72</v>
      </c>
      <c r="F175">
        <v>85</v>
      </c>
    </row>
    <row r="176" spans="1:6" x14ac:dyDescent="0.3">
      <c r="A176">
        <v>4</v>
      </c>
      <c r="B176" t="s">
        <v>40</v>
      </c>
      <c r="C176">
        <v>92</v>
      </c>
      <c r="D176">
        <v>89</v>
      </c>
      <c r="E176">
        <v>94</v>
      </c>
      <c r="F176">
        <v>98</v>
      </c>
    </row>
    <row r="177" spans="1:7" x14ac:dyDescent="0.3">
      <c r="A177">
        <v>5</v>
      </c>
      <c r="B177" t="s">
        <v>41</v>
      </c>
      <c r="C177">
        <v>55</v>
      </c>
      <c r="D177">
        <v>60</v>
      </c>
      <c r="E177">
        <v>58</v>
      </c>
      <c r="F177">
        <v>80</v>
      </c>
    </row>
    <row r="179" spans="1:7" x14ac:dyDescent="0.3">
      <c r="A179" s="10" t="s">
        <v>134</v>
      </c>
      <c r="B179" s="12">
        <f>STDEV(E173:E177)</f>
        <v>14.737706741552426</v>
      </c>
    </row>
    <row r="182" spans="1:7" x14ac:dyDescent="0.3">
      <c r="A182" s="10" t="s">
        <v>114</v>
      </c>
    </row>
    <row r="183" spans="1:7" x14ac:dyDescent="0.3">
      <c r="A183" s="9" t="s">
        <v>63</v>
      </c>
      <c r="B183" s="9"/>
      <c r="C183" s="9"/>
    </row>
    <row r="184" spans="1:7" x14ac:dyDescent="0.3">
      <c r="A184" t="s">
        <v>31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 s="1" t="s">
        <v>115</v>
      </c>
    </row>
    <row r="185" spans="1:7" x14ac:dyDescent="0.3">
      <c r="A185">
        <v>1</v>
      </c>
      <c r="B185" t="s">
        <v>37</v>
      </c>
      <c r="C185">
        <v>78</v>
      </c>
      <c r="D185">
        <v>82</v>
      </c>
      <c r="E185">
        <v>85</v>
      </c>
      <c r="F185">
        <v>92</v>
      </c>
      <c r="G185" t="str">
        <f>_xlfn.CONCAT(A185,B185)</f>
        <v>1Rahul</v>
      </c>
    </row>
    <row r="186" spans="1:7" x14ac:dyDescent="0.3">
      <c r="A186">
        <v>2</v>
      </c>
      <c r="B186" t="s">
        <v>38</v>
      </c>
      <c r="C186">
        <v>88</v>
      </c>
      <c r="D186">
        <v>91</v>
      </c>
      <c r="E186">
        <v>90</v>
      </c>
      <c r="F186">
        <v>96</v>
      </c>
      <c r="G186" t="str">
        <f t="shared" ref="G186:G189" si="11">_xlfn.CONCAT(A186,B186)</f>
        <v>2Sneha</v>
      </c>
    </row>
    <row r="187" spans="1:7" x14ac:dyDescent="0.3">
      <c r="A187">
        <v>3</v>
      </c>
      <c r="B187" t="s">
        <v>39</v>
      </c>
      <c r="C187">
        <v>65</v>
      </c>
      <c r="D187">
        <v>70</v>
      </c>
      <c r="E187">
        <v>72</v>
      </c>
      <c r="F187">
        <v>85</v>
      </c>
      <c r="G187" t="str">
        <f t="shared" si="11"/>
        <v>3Arjun</v>
      </c>
    </row>
    <row r="188" spans="1:7" x14ac:dyDescent="0.3">
      <c r="A188">
        <v>4</v>
      </c>
      <c r="B188" t="s">
        <v>40</v>
      </c>
      <c r="C188">
        <v>92</v>
      </c>
      <c r="D188">
        <v>89</v>
      </c>
      <c r="E188">
        <v>94</v>
      </c>
      <c r="F188">
        <v>98</v>
      </c>
      <c r="G188" t="str">
        <f t="shared" si="11"/>
        <v>4Pooja</v>
      </c>
    </row>
    <row r="189" spans="1:7" x14ac:dyDescent="0.3">
      <c r="A189">
        <v>5</v>
      </c>
      <c r="B189" t="s">
        <v>41</v>
      </c>
      <c r="C189">
        <v>55</v>
      </c>
      <c r="D189">
        <v>60</v>
      </c>
      <c r="E189">
        <v>58</v>
      </c>
      <c r="F189">
        <v>80</v>
      </c>
      <c r="G189" t="str">
        <f t="shared" si="11"/>
        <v>5Vikas</v>
      </c>
    </row>
    <row r="192" spans="1:7" x14ac:dyDescent="0.3">
      <c r="A192" s="10" t="s">
        <v>116</v>
      </c>
    </row>
    <row r="193" spans="1:8" x14ac:dyDescent="0.3">
      <c r="A193" s="9" t="s">
        <v>64</v>
      </c>
      <c r="B193" s="9"/>
      <c r="C193" s="9"/>
      <c r="D193" s="9"/>
    </row>
    <row r="194" spans="1:8" x14ac:dyDescent="0.3">
      <c r="A194" t="s">
        <v>4</v>
      </c>
      <c r="B194" t="s">
        <v>5</v>
      </c>
      <c r="C194" t="s">
        <v>6</v>
      </c>
      <c r="D194" t="s">
        <v>7</v>
      </c>
      <c r="E194" t="s">
        <v>8</v>
      </c>
      <c r="F194" t="s">
        <v>9</v>
      </c>
      <c r="G194" t="s">
        <v>10</v>
      </c>
      <c r="H194" s="1" t="s">
        <v>117</v>
      </c>
    </row>
    <row r="195" spans="1:8" x14ac:dyDescent="0.3">
      <c r="A195">
        <v>301</v>
      </c>
      <c r="B195" t="s">
        <v>11</v>
      </c>
      <c r="C195" t="s">
        <v>12</v>
      </c>
      <c r="D195" t="s">
        <v>13</v>
      </c>
      <c r="E195">
        <v>2</v>
      </c>
      <c r="F195">
        <v>45000</v>
      </c>
      <c r="G195" t="s">
        <v>14</v>
      </c>
      <c r="H195" t="str">
        <f>LEFT(C195,2)</f>
        <v>Am</v>
      </c>
    </row>
    <row r="196" spans="1:8" x14ac:dyDescent="0.3">
      <c r="A196">
        <v>302</v>
      </c>
      <c r="B196" t="s">
        <v>15</v>
      </c>
      <c r="C196" t="s">
        <v>16</v>
      </c>
      <c r="D196" t="s">
        <v>17</v>
      </c>
      <c r="E196">
        <v>5</v>
      </c>
      <c r="F196">
        <v>15000</v>
      </c>
      <c r="G196" t="s">
        <v>18</v>
      </c>
      <c r="H196" t="str">
        <f t="shared" ref="H196:H200" si="12">LEFT(C196,2)</f>
        <v>Ri</v>
      </c>
    </row>
    <row r="197" spans="1:8" x14ac:dyDescent="0.3">
      <c r="A197">
        <v>303</v>
      </c>
      <c r="B197" t="s">
        <v>19</v>
      </c>
      <c r="C197" t="s">
        <v>20</v>
      </c>
      <c r="D197" t="s">
        <v>21</v>
      </c>
      <c r="E197">
        <v>3</v>
      </c>
      <c r="F197">
        <v>18000</v>
      </c>
      <c r="G197" t="s">
        <v>22</v>
      </c>
      <c r="H197" t="str">
        <f t="shared" si="12"/>
        <v>Ku</v>
      </c>
    </row>
    <row r="198" spans="1:8" x14ac:dyDescent="0.3">
      <c r="A198">
        <v>304</v>
      </c>
      <c r="B198" t="s">
        <v>23</v>
      </c>
      <c r="C198" t="s">
        <v>24</v>
      </c>
      <c r="D198" t="s">
        <v>13</v>
      </c>
      <c r="E198">
        <v>1</v>
      </c>
      <c r="F198">
        <v>45000</v>
      </c>
      <c r="G198" t="s">
        <v>25</v>
      </c>
      <c r="H198" t="str">
        <f t="shared" si="12"/>
        <v>Ne</v>
      </c>
    </row>
    <row r="199" spans="1:8" x14ac:dyDescent="0.3">
      <c r="A199">
        <v>305</v>
      </c>
      <c r="B199" t="s">
        <v>11</v>
      </c>
      <c r="C199" t="s">
        <v>12</v>
      </c>
      <c r="D199" t="s">
        <v>17</v>
      </c>
      <c r="E199">
        <v>4</v>
      </c>
      <c r="F199">
        <v>15000</v>
      </c>
      <c r="G199" t="s">
        <v>26</v>
      </c>
      <c r="H199" t="str">
        <f t="shared" si="12"/>
        <v>Am</v>
      </c>
    </row>
    <row r="200" spans="1:8" x14ac:dyDescent="0.3">
      <c r="A200">
        <v>306</v>
      </c>
      <c r="B200" t="s">
        <v>15</v>
      </c>
      <c r="C200" t="s">
        <v>16</v>
      </c>
      <c r="D200" t="s">
        <v>13</v>
      </c>
      <c r="E200">
        <v>2</v>
      </c>
      <c r="F200">
        <v>45000</v>
      </c>
      <c r="G200" t="s">
        <v>27</v>
      </c>
      <c r="H200" t="str">
        <f t="shared" si="12"/>
        <v>Ri</v>
      </c>
    </row>
    <row r="203" spans="1:8" x14ac:dyDescent="0.3">
      <c r="A203" s="10" t="s">
        <v>122</v>
      </c>
    </row>
    <row r="204" spans="1:8" x14ac:dyDescent="0.3">
      <c r="A204" s="9" t="s">
        <v>65</v>
      </c>
      <c r="B204" s="9"/>
      <c r="C204" s="9"/>
      <c r="D204" s="9"/>
    </row>
    <row r="206" spans="1:8" x14ac:dyDescent="0.3">
      <c r="A206" s="1" t="s">
        <v>123</v>
      </c>
    </row>
    <row r="209" spans="1:7" x14ac:dyDescent="0.3">
      <c r="A209" s="10" t="s">
        <v>124</v>
      </c>
    </row>
    <row r="210" spans="1:7" x14ac:dyDescent="0.3">
      <c r="A210" s="9" t="s">
        <v>66</v>
      </c>
      <c r="B210" s="9"/>
      <c r="C210" s="9"/>
      <c r="D210" s="9"/>
    </row>
    <row r="211" spans="1:7" x14ac:dyDescent="0.3">
      <c r="A211" t="s">
        <v>4</v>
      </c>
      <c r="B211" t="s">
        <v>5</v>
      </c>
      <c r="C211" t="s">
        <v>6</v>
      </c>
      <c r="D211" t="s">
        <v>7</v>
      </c>
      <c r="E211" t="s">
        <v>8</v>
      </c>
      <c r="F211" t="s">
        <v>9</v>
      </c>
      <c r="G211" t="s">
        <v>10</v>
      </c>
    </row>
    <row r="212" spans="1:7" x14ac:dyDescent="0.3">
      <c r="A212">
        <v>301</v>
      </c>
      <c r="B212" t="s">
        <v>11</v>
      </c>
      <c r="C212" t="s">
        <v>12</v>
      </c>
      <c r="D212" t="s">
        <v>13</v>
      </c>
      <c r="E212">
        <v>2</v>
      </c>
      <c r="F212">
        <v>45000</v>
      </c>
      <c r="G212" t="s">
        <v>14</v>
      </c>
    </row>
    <row r="213" spans="1:7" hidden="1" x14ac:dyDescent="0.3">
      <c r="A213">
        <v>302</v>
      </c>
      <c r="B213" t="s">
        <v>15</v>
      </c>
      <c r="C213" t="s">
        <v>16</v>
      </c>
      <c r="D213" t="s">
        <v>17</v>
      </c>
      <c r="E213">
        <v>5</v>
      </c>
      <c r="F213">
        <v>15000</v>
      </c>
      <c r="G213" t="s">
        <v>18</v>
      </c>
    </row>
    <row r="214" spans="1:7" hidden="1" x14ac:dyDescent="0.3">
      <c r="A214">
        <v>303</v>
      </c>
      <c r="B214" t="s">
        <v>19</v>
      </c>
      <c r="C214" t="s">
        <v>20</v>
      </c>
      <c r="D214" t="s">
        <v>21</v>
      </c>
      <c r="E214">
        <v>3</v>
      </c>
      <c r="F214">
        <v>18000</v>
      </c>
      <c r="G214" t="s">
        <v>22</v>
      </c>
    </row>
    <row r="215" spans="1:7" hidden="1" x14ac:dyDescent="0.3">
      <c r="A215">
        <v>304</v>
      </c>
      <c r="B215" t="s">
        <v>23</v>
      </c>
      <c r="C215" t="s">
        <v>24</v>
      </c>
      <c r="D215" t="s">
        <v>13</v>
      </c>
      <c r="E215">
        <v>1</v>
      </c>
      <c r="F215">
        <v>45000</v>
      </c>
      <c r="G215" t="s">
        <v>25</v>
      </c>
    </row>
    <row r="216" spans="1:7" hidden="1" x14ac:dyDescent="0.3">
      <c r="A216">
        <v>305</v>
      </c>
      <c r="B216" t="s">
        <v>11</v>
      </c>
      <c r="C216" t="s">
        <v>12</v>
      </c>
      <c r="D216" t="s">
        <v>17</v>
      </c>
      <c r="E216">
        <v>4</v>
      </c>
      <c r="F216">
        <v>15000</v>
      </c>
      <c r="G216" t="s">
        <v>26</v>
      </c>
    </row>
    <row r="217" spans="1:7" x14ac:dyDescent="0.3">
      <c r="A217">
        <v>306</v>
      </c>
      <c r="B217" t="s">
        <v>15</v>
      </c>
      <c r="C217" t="s">
        <v>16</v>
      </c>
      <c r="D217" t="s">
        <v>13</v>
      </c>
      <c r="E217">
        <v>2</v>
      </c>
      <c r="F217">
        <v>45000</v>
      </c>
      <c r="G217" t="s">
        <v>27</v>
      </c>
    </row>
    <row r="221" spans="1:7" x14ac:dyDescent="0.3">
      <c r="A221" s="10" t="s">
        <v>125</v>
      </c>
    </row>
    <row r="222" spans="1:7" x14ac:dyDescent="0.3">
      <c r="A222" s="9" t="s">
        <v>67</v>
      </c>
      <c r="B222" s="9"/>
      <c r="C222" s="9"/>
    </row>
    <row r="224" spans="1:7" x14ac:dyDescent="0.3">
      <c r="A224" t="s">
        <v>4</v>
      </c>
      <c r="B224" t="s">
        <v>5</v>
      </c>
      <c r="C224" t="s">
        <v>6</v>
      </c>
      <c r="D224" t="s">
        <v>7</v>
      </c>
      <c r="E224" t="s">
        <v>8</v>
      </c>
      <c r="F224" t="s">
        <v>9</v>
      </c>
      <c r="G224" t="s">
        <v>10</v>
      </c>
    </row>
    <row r="225" spans="1:7" x14ac:dyDescent="0.3">
      <c r="A225">
        <v>301</v>
      </c>
      <c r="B225" t="s">
        <v>11</v>
      </c>
      <c r="C225" t="s">
        <v>12</v>
      </c>
      <c r="D225" t="s">
        <v>13</v>
      </c>
      <c r="E225">
        <v>2</v>
      </c>
      <c r="F225">
        <v>45000</v>
      </c>
      <c r="G225" t="s">
        <v>14</v>
      </c>
    </row>
    <row r="226" spans="1:7" x14ac:dyDescent="0.3">
      <c r="A226">
        <v>302</v>
      </c>
      <c r="B226" t="s">
        <v>15</v>
      </c>
      <c r="C226" t="s">
        <v>16</v>
      </c>
      <c r="D226" t="s">
        <v>17</v>
      </c>
      <c r="E226">
        <v>5</v>
      </c>
      <c r="F226">
        <v>15000</v>
      </c>
      <c r="G226" t="s">
        <v>18</v>
      </c>
    </row>
    <row r="227" spans="1:7" x14ac:dyDescent="0.3">
      <c r="A227">
        <v>303</v>
      </c>
      <c r="B227" t="s">
        <v>19</v>
      </c>
      <c r="C227" t="s">
        <v>20</v>
      </c>
      <c r="D227" t="s">
        <v>21</v>
      </c>
      <c r="E227">
        <v>3</v>
      </c>
      <c r="F227">
        <v>18000</v>
      </c>
      <c r="G227" t="s">
        <v>22</v>
      </c>
    </row>
    <row r="228" spans="1:7" x14ac:dyDescent="0.3">
      <c r="A228">
        <v>304</v>
      </c>
      <c r="B228" t="s">
        <v>23</v>
      </c>
      <c r="C228" t="s">
        <v>24</v>
      </c>
      <c r="D228" t="s">
        <v>13</v>
      </c>
      <c r="E228">
        <v>1</v>
      </c>
      <c r="F228">
        <v>45000</v>
      </c>
      <c r="G228" t="s">
        <v>25</v>
      </c>
    </row>
    <row r="229" spans="1:7" x14ac:dyDescent="0.3">
      <c r="A229">
        <v>305</v>
      </c>
      <c r="B229" t="s">
        <v>11</v>
      </c>
      <c r="C229" t="s">
        <v>12</v>
      </c>
      <c r="D229" t="s">
        <v>17</v>
      </c>
      <c r="E229">
        <v>4</v>
      </c>
      <c r="F229">
        <v>15000</v>
      </c>
      <c r="G229" t="s">
        <v>26</v>
      </c>
    </row>
    <row r="230" spans="1:7" x14ac:dyDescent="0.3">
      <c r="A230">
        <v>306</v>
      </c>
      <c r="B230" t="s">
        <v>15</v>
      </c>
      <c r="C230" t="s">
        <v>16</v>
      </c>
      <c r="D230" t="s">
        <v>13</v>
      </c>
      <c r="E230">
        <v>2</v>
      </c>
      <c r="F230">
        <v>45000</v>
      </c>
      <c r="G230" t="s">
        <v>27</v>
      </c>
    </row>
    <row r="232" spans="1:7" x14ac:dyDescent="0.3">
      <c r="B232" s="13">
        <f>COUNTIFS(B225:B230,"=North",D225:D230,"=Laptop")</f>
        <v>1</v>
      </c>
    </row>
    <row r="235" spans="1:7" x14ac:dyDescent="0.3">
      <c r="A235" s="10" t="s">
        <v>135</v>
      </c>
    </row>
    <row r="236" spans="1:7" x14ac:dyDescent="0.3">
      <c r="A236" s="9" t="s">
        <v>68</v>
      </c>
      <c r="B236" s="9"/>
      <c r="C236" s="9"/>
      <c r="D236" s="9"/>
      <c r="E236" s="9"/>
      <c r="F236" s="9"/>
    </row>
    <row r="238" spans="1:7" x14ac:dyDescent="0.3">
      <c r="A238" t="s">
        <v>9</v>
      </c>
      <c r="B238" t="s">
        <v>136</v>
      </c>
    </row>
    <row r="239" spans="1:7" x14ac:dyDescent="0.3">
      <c r="A239">
        <v>45000</v>
      </c>
      <c r="B239">
        <f>ROUND(A239,3)</f>
        <v>45000</v>
      </c>
    </row>
    <row r="240" spans="1:7" x14ac:dyDescent="0.3">
      <c r="A240">
        <v>15000</v>
      </c>
      <c r="B240">
        <f t="shared" ref="B240:B244" si="13">ROUND(A240,3)</f>
        <v>15000</v>
      </c>
    </row>
    <row r="241" spans="1:4" x14ac:dyDescent="0.3">
      <c r="A241">
        <v>18000</v>
      </c>
      <c r="B241">
        <f t="shared" si="13"/>
        <v>18000</v>
      </c>
    </row>
    <row r="242" spans="1:4" x14ac:dyDescent="0.3">
      <c r="A242">
        <v>45000</v>
      </c>
      <c r="B242">
        <f t="shared" si="13"/>
        <v>45000</v>
      </c>
    </row>
    <row r="243" spans="1:4" x14ac:dyDescent="0.3">
      <c r="A243">
        <v>15000</v>
      </c>
      <c r="B243">
        <f t="shared" si="13"/>
        <v>15000</v>
      </c>
    </row>
    <row r="244" spans="1:4" x14ac:dyDescent="0.3">
      <c r="A244">
        <v>45000</v>
      </c>
      <c r="B244">
        <f t="shared" si="13"/>
        <v>45000</v>
      </c>
    </row>
    <row r="248" spans="1:4" x14ac:dyDescent="0.3">
      <c r="A248" s="10" t="s">
        <v>137</v>
      </c>
    </row>
    <row r="249" spans="1:4" x14ac:dyDescent="0.3">
      <c r="A249" s="9" t="s">
        <v>69</v>
      </c>
      <c r="B249" s="9"/>
      <c r="C249" s="9"/>
      <c r="D249" s="9"/>
    </row>
    <row r="251" spans="1:4" x14ac:dyDescent="0.3">
      <c r="A251" s="14" t="s">
        <v>7</v>
      </c>
    </row>
    <row r="252" spans="1:4" x14ac:dyDescent="0.3">
      <c r="A252" s="14" t="s">
        <v>13</v>
      </c>
    </row>
    <row r="253" spans="1:4" x14ac:dyDescent="0.3">
      <c r="A253" s="14" t="s">
        <v>17</v>
      </c>
    </row>
    <row r="254" spans="1:4" x14ac:dyDescent="0.3">
      <c r="A254" s="14" t="s">
        <v>21</v>
      </c>
    </row>
    <row r="257" spans="1:10" x14ac:dyDescent="0.3">
      <c r="A257" s="10" t="s">
        <v>138</v>
      </c>
    </row>
    <row r="258" spans="1:10" x14ac:dyDescent="0.3">
      <c r="A258" s="9" t="s">
        <v>70</v>
      </c>
      <c r="B258" s="9"/>
      <c r="C258" s="9"/>
      <c r="D258" s="9"/>
    </row>
    <row r="260" spans="1:10" x14ac:dyDescent="0.3">
      <c r="A260" t="s">
        <v>4</v>
      </c>
      <c r="B260" t="s">
        <v>5</v>
      </c>
      <c r="C260" t="s">
        <v>6</v>
      </c>
      <c r="D260" t="s">
        <v>7</v>
      </c>
      <c r="E260" t="s">
        <v>8</v>
      </c>
      <c r="F260" t="s">
        <v>9</v>
      </c>
      <c r="G260" t="s">
        <v>10</v>
      </c>
      <c r="H260" t="s">
        <v>126</v>
      </c>
      <c r="I260" t="s">
        <v>127</v>
      </c>
      <c r="J260" t="s">
        <v>128</v>
      </c>
    </row>
    <row r="261" spans="1:10" x14ac:dyDescent="0.3">
      <c r="A261">
        <v>301</v>
      </c>
      <c r="B261" t="s">
        <v>11</v>
      </c>
      <c r="C261" t="s">
        <v>12</v>
      </c>
      <c r="D261" t="s">
        <v>13</v>
      </c>
      <c r="E261">
        <v>2</v>
      </c>
      <c r="F261">
        <v>45000</v>
      </c>
      <c r="G261" t="s">
        <v>14</v>
      </c>
      <c r="H261">
        <v>90000</v>
      </c>
      <c r="I261">
        <v>18</v>
      </c>
      <c r="J261">
        <v>16200</v>
      </c>
    </row>
    <row r="262" spans="1:10" x14ac:dyDescent="0.3">
      <c r="A262">
        <v>302</v>
      </c>
      <c r="B262" t="s">
        <v>15</v>
      </c>
      <c r="C262" t="s">
        <v>16</v>
      </c>
      <c r="D262" t="s">
        <v>17</v>
      </c>
      <c r="E262">
        <v>5</v>
      </c>
      <c r="F262">
        <v>15000</v>
      </c>
      <c r="G262" t="s">
        <v>18</v>
      </c>
      <c r="H262">
        <v>75000</v>
      </c>
      <c r="I262">
        <v>12</v>
      </c>
      <c r="J262">
        <v>9000</v>
      </c>
    </row>
    <row r="263" spans="1:10" x14ac:dyDescent="0.3">
      <c r="A263">
        <v>303</v>
      </c>
      <c r="B263" t="s">
        <v>19</v>
      </c>
      <c r="C263" t="s">
        <v>20</v>
      </c>
      <c r="D263" t="s">
        <v>21</v>
      </c>
      <c r="E263">
        <v>3</v>
      </c>
      <c r="F263">
        <v>18000</v>
      </c>
      <c r="G263" t="s">
        <v>22</v>
      </c>
      <c r="H263">
        <v>54000</v>
      </c>
      <c r="I263">
        <v>12</v>
      </c>
      <c r="J263">
        <v>6480</v>
      </c>
    </row>
    <row r="264" spans="1:10" x14ac:dyDescent="0.3">
      <c r="A264">
        <v>304</v>
      </c>
      <c r="B264" t="s">
        <v>23</v>
      </c>
      <c r="C264" t="s">
        <v>24</v>
      </c>
      <c r="D264" t="s">
        <v>13</v>
      </c>
      <c r="E264">
        <v>1</v>
      </c>
      <c r="F264">
        <v>45000</v>
      </c>
      <c r="G264" t="s">
        <v>25</v>
      </c>
      <c r="H264">
        <v>45000</v>
      </c>
      <c r="I264">
        <v>18</v>
      </c>
      <c r="J264">
        <v>8100</v>
      </c>
    </row>
    <row r="265" spans="1:10" x14ac:dyDescent="0.3">
      <c r="A265">
        <v>305</v>
      </c>
      <c r="B265" t="s">
        <v>11</v>
      </c>
      <c r="C265" t="s">
        <v>12</v>
      </c>
      <c r="D265" t="s">
        <v>17</v>
      </c>
      <c r="E265">
        <v>4</v>
      </c>
      <c r="F265">
        <v>15000</v>
      </c>
      <c r="G265" t="s">
        <v>26</v>
      </c>
      <c r="H265">
        <v>60000</v>
      </c>
      <c r="I265">
        <v>12</v>
      </c>
      <c r="J265">
        <v>7200</v>
      </c>
    </row>
    <row r="266" spans="1:10" x14ac:dyDescent="0.3">
      <c r="A266">
        <v>306</v>
      </c>
      <c r="B266" t="s">
        <v>15</v>
      </c>
      <c r="C266" t="s">
        <v>16</v>
      </c>
      <c r="D266" t="s">
        <v>13</v>
      </c>
      <c r="E266">
        <v>2</v>
      </c>
      <c r="F266">
        <v>45000</v>
      </c>
      <c r="G266" t="s">
        <v>27</v>
      </c>
      <c r="H266">
        <v>90000</v>
      </c>
      <c r="I266">
        <v>18</v>
      </c>
      <c r="J266">
        <v>16200</v>
      </c>
    </row>
    <row r="270" spans="1:10" x14ac:dyDescent="0.3">
      <c r="A270" s="10" t="s">
        <v>139</v>
      </c>
    </row>
    <row r="271" spans="1:10" x14ac:dyDescent="0.3">
      <c r="A271" t="s">
        <v>71</v>
      </c>
    </row>
  </sheetData>
  <conditionalFormatting sqref="K26:K31">
    <cfRule type="cellIs" dxfId="0" priority="1" operator="greaterThan">
      <formula>60000</formula>
    </cfRule>
  </conditionalFormatting>
  <pageMargins left="0.7" right="0.7" top="0.75" bottom="0.75" header="0.3" footer="0.3"/>
  <ignoredErrors>
    <ignoredError sqref="C50:D50" 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Sales_Data</vt:lpstr>
      <vt:lpstr>Student_Marks</vt:lpstr>
      <vt:lpstr>Product_Master</vt:lpstr>
      <vt:lpstr>Questions</vt:lpstr>
      <vt:lpstr>Pivot Table 16</vt:lpstr>
      <vt:lpstr>Pivot table 18</vt:lpstr>
      <vt:lpstr>Pivot table 17</vt:lpstr>
      <vt:lpstr>Pivot table 19 </vt:lpstr>
      <vt:lpstr>Ans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Priyanshi</cp:lastModifiedBy>
  <dcterms:created xsi:type="dcterms:W3CDTF">2025-12-20T09:26:06Z</dcterms:created>
  <dcterms:modified xsi:type="dcterms:W3CDTF">2026-07-11T13:48:31Z</dcterms:modified>
</cp:coreProperties>
</file>