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YANSHI\Excel\"/>
    </mc:Choice>
  </mc:AlternateContent>
  <xr:revisionPtr revIDLastSave="0" documentId="13_ncr:1_{6471032C-D399-4561-8267-7DE1C3CB5A4C}" xr6:coauthVersionLast="47" xr6:coauthVersionMax="47" xr10:uidLastSave="{00000000-0000-0000-0000-000000000000}"/>
  <bookViews>
    <workbookView xWindow="-108" yWindow="-108" windowWidth="23256" windowHeight="12456" activeTab="9" xr2:uid="{32A2C02E-59AC-4258-B1E0-A18F29BC09B4}"/>
  </bookViews>
  <sheets>
    <sheet name="Task1" sheetId="1" r:id="rId1"/>
    <sheet name="Task2" sheetId="2" r:id="rId2"/>
    <sheet name="Task3" sheetId="4" r:id="rId3"/>
    <sheet name="Task4" sheetId="5" r:id="rId4"/>
    <sheet name="Task5" sheetId="6" r:id="rId5"/>
    <sheet name="Task6" sheetId="7" r:id="rId6"/>
    <sheet name="Task7" sheetId="8" r:id="rId7"/>
    <sheet name="Task8" sheetId="9" r:id="rId8"/>
    <sheet name="Task9" sheetId="10" r:id="rId9"/>
    <sheet name="Task10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1" l="1"/>
  <c r="F8" i="11"/>
  <c r="F9" i="11"/>
  <c r="E5" i="10" l="1"/>
  <c r="E6" i="10"/>
  <c r="E7" i="10"/>
  <c r="E8" i="10"/>
  <c r="F5" i="7"/>
  <c r="F6" i="1"/>
  <c r="F6" i="11"/>
  <c r="E7" i="9"/>
  <c r="E8" i="9"/>
  <c r="E9" i="9"/>
  <c r="E6" i="9"/>
  <c r="F6" i="8"/>
  <c r="F7" i="8"/>
  <c r="F8" i="8"/>
  <c r="F5" i="8"/>
  <c r="F6" i="7"/>
  <c r="F7" i="7"/>
  <c r="F8" i="7"/>
  <c r="F6" i="6"/>
  <c r="F7" i="6"/>
  <c r="F8" i="6"/>
  <c r="F5" i="6"/>
  <c r="F6" i="5"/>
  <c r="F7" i="5"/>
  <c r="F8" i="5"/>
  <c r="F5" i="5"/>
  <c r="E5" i="4"/>
  <c r="E6" i="4"/>
  <c r="E7" i="4"/>
  <c r="E8" i="4"/>
  <c r="E9" i="4"/>
  <c r="E6" i="2"/>
  <c r="E7" i="2"/>
  <c r="E8" i="2"/>
  <c r="E5" i="2"/>
  <c r="F7" i="1"/>
  <c r="F8" i="1"/>
  <c r="F9" i="1"/>
  <c r="F10" i="1"/>
</calcChain>
</file>

<file path=xl/sharedStrings.xml><?xml version="1.0" encoding="utf-8"?>
<sst xmlns="http://schemas.openxmlformats.org/spreadsheetml/2006/main" count="111" uniqueCount="74">
  <si>
    <t>Task 1: Pass / Fail using IF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</si>
  <si>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</si>
  <si>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</si>
  <si>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</si>
  <si>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</si>
  <si>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</si>
  <si>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</si>
  <si>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</si>
  <si>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</si>
  <si>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</si>
  <si>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If Marks ≥ 40 → Pass</t>
  </si>
  <si>
    <t>Else → Fail</t>
  </si>
  <si>
    <t>Task 2: 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</si>
  <si>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</si>
  <si>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</si>
  <si>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</si>
  <si>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</si>
  <si>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</si>
  <si>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</si>
  <si>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</si>
  <si>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Salary ≥ 40000 → Bonus</t>
  </si>
  <si>
    <t>Else → No Bonus</t>
  </si>
  <si>
    <t xml:space="preserve"> Task 3: Grade Calculation (Nested IF)</t>
  </si>
  <si>
    <t>Grade</t>
  </si>
  <si>
    <t>≥ 75 → A</t>
  </si>
  <si>
    <t>≥ 60 → B</t>
  </si>
  <si>
    <t>≥ 40 → C</t>
  </si>
  <si>
    <t>&lt; 40 → Fail</t>
  </si>
  <si>
    <t>Task 4: Job Eligibility (AND)</t>
  </si>
  <si>
    <t>Name</t>
  </si>
  <si>
    <t>Age</t>
  </si>
  <si>
    <t>Experience (Years)</t>
  </si>
  <si>
    <t>Eligible</t>
  </si>
  <si>
    <t>Age ≥ 21 AND Experience ≥ 1 → Eligible</t>
  </si>
  <si>
    <t>Task 5: Exam Eligibility (AND)</t>
  </si>
  <si>
    <t>Attendance %</t>
  </si>
  <si>
    <t>Assignment Submitted</t>
  </si>
  <si>
    <t>Yes</t>
  </si>
  <si>
    <t>No</t>
  </si>
  <si>
    <t>Attendance ≥ 75 AND Assignment = Yes</t>
  </si>
  <si>
    <t>Task 6: Discount Logic (OR)</t>
  </si>
  <si>
    <t>Customer Name</t>
  </si>
  <si>
    <t>Purchase Amount</t>
  </si>
  <si>
    <t>Membership</t>
  </si>
  <si>
    <t>Discount</t>
  </si>
  <si>
    <t>Aakash</t>
  </si>
  <si>
    <t>Bhavna</t>
  </si>
  <si>
    <t>Divya</t>
  </si>
  <si>
    <t>Purchase ≥ 10000 OR Membership = Yes</t>
  </si>
  <si>
    <t>Applicant</t>
  </si>
  <si>
    <t>CIBIL Score</t>
  </si>
  <si>
    <t>Loan Status</t>
  </si>
  <si>
    <t>Salary ≥ 40000 OR CIBIL ≥ 700</t>
  </si>
  <si>
    <t>Task 7: Loan Approval (OR)</t>
  </si>
  <si>
    <t>Present</t>
  </si>
  <si>
    <t>Status</t>
  </si>
  <si>
    <t>If NOT Present → Absent</t>
  </si>
  <si>
    <t>Else → Present</t>
  </si>
  <si>
    <t>Task 8: Attendance Status (NOT)</t>
  </si>
  <si>
    <t>Number 1</t>
  </si>
  <si>
    <t>Number 2</t>
  </si>
  <si>
    <t>Divide Number 1 by Number 2</t>
  </si>
  <si>
    <t>If error → show "Invalid"</t>
  </si>
  <si>
    <t>Targets Achieved</t>
  </si>
  <si>
    <t>Performance</t>
  </si>
  <si>
    <t>Raj</t>
  </si>
  <si>
    <t>Sunita</t>
  </si>
  <si>
    <t>Manoj</t>
  </si>
  <si>
    <t>Kavita</t>
  </si>
  <si>
    <t>Attendance ≥ 90 AND Targets ≥ 40 → Excellent</t>
  </si>
  <si>
    <t>Attendance ≥ 80 → Good</t>
  </si>
  <si>
    <t>Else → Needs Improvement</t>
  </si>
  <si>
    <t>Task 10: Performance Evaluation (Combined Logic)</t>
  </si>
  <si>
    <t>Task 9: Safe Division (IFERROR)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</si>
</sst>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10"/>
      <color rgb="FF1F2328"/>
      <name val="Calibri Light"/>
      <family val="2"/>
      <scheme val="major"/>
    </font>
    <font>
      <sz val="10"/>
      <color rgb="FF1F2328"/>
      <name val="Calibri Light"/>
      <family val="2"/>
      <scheme val="major"/>
    </font>
    <font>
      <sz val="12"/>
      <color rgb="FF1F2328"/>
      <name val="Calibri Light"/>
      <family val="2"/>
      <scheme val="major"/>
    </font>
    <font>
      <sz val="12"/>
      <color rgb="FF1F2328"/>
      <name val="Calibri Light"/>
      <family val="2"/>
      <scheme val="major"/>
    </font>
    <font>
      <b/>
      <sz val="22"/>
      <color theme="1"/>
      <name val="Calibri Light"/>
      <family val="2"/>
      <scheme val="major"/>
    </font>
    <font>
      <sz val="13.75"/>
      <color rgb="FF1F2328"/>
      <name val="Segoe UI"/>
      <family val="2"/>
    </font>
    <font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4" borderId="0" xfId="0" applyFill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11" fillId="0" borderId="0" xfId="0" applyFont="1" applyAlignment="1">
      <alignment vertical="center" wrapText="1"/>
    </xf>
    <xf numFmtId="0" fontId="1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4106-63BD-40D4-B8F3-E09416B12D9B}">
  <dimension ref="C2:N10"/>
  <sheetViews>
    <sheetView workbookViewId="0">
      <selection activeCell="F7" sqref="F7"/>
    </sheetView>
  </sheetViews>
  <sheetFormatPr defaultRowHeight="14.4" x14ac:dyDescent="0.3"/>
  <cols>
    <col min="3" max="3" width="13.44140625" customWidth="1"/>
    <col min="4" max="4" width="16.109375" customWidth="1"/>
  </cols>
  <sheetData>
    <row r="2" spans="3:14" ht="28.8" x14ac:dyDescent="0.55000000000000004">
      <c r="D2" s="21" t="s">
        <v>0</v>
      </c>
      <c r="E2" s="20"/>
      <c r="F2" s="20"/>
      <c r="G2" s="20"/>
      <c r="H2" s="20"/>
      <c r="I2" s="20"/>
      <c r="J2" s="20"/>
      <c r="K2" s="20"/>
      <c r="L2" s="20"/>
      <c r="M2" s="20"/>
      <c r="N2" s="20"/>
    </row>
    <row r="4" spans="3:14" ht="15" thickBot="1" x14ac:dyDescent="0.35"/>
    <row r="5" spans="3:14" ht="19.8" thickBot="1" x14ac:dyDescent="0.35">
      <c r="C5" s="1" t="s">
        <v>1</v>
      </c>
      <c r="D5" s="1" t="s">
        <v>2</v>
      </c>
      <c r="E5" s="1" t="s">
        <v>3</v>
      </c>
      <c r="F5" s="1" t="s">
        <v>4</v>
      </c>
      <c r="H5" s="22" t="s">
        <v>10</v>
      </c>
      <c r="I5" s="22"/>
      <c r="J5" s="22"/>
    </row>
    <row r="6" spans="3:14" ht="19.8" thickBot="1" x14ac:dyDescent="0.35">
      <c r="C6" s="3">
        <v>1</v>
      </c>
      <c r="D6" s="3" t="s">
        <v>5</v>
      </c>
      <c r="E6" s="3">
        <v>78</v>
      </c>
      <c r="F6" s="3" t="str">
        <f>IF(E6&gt;40,"Pass","Fail")</f>
        <v>Pass</v>
      </c>
      <c r="H6" s="22" t="s">
        <v>11</v>
      </c>
      <c r="I6" s="22"/>
      <c r="J6" s="2"/>
    </row>
    <row r="7" spans="3:14" ht="19.8" thickBot="1" x14ac:dyDescent="0.35">
      <c r="C7" s="4">
        <v>2</v>
      </c>
      <c r="D7" s="4" t="s">
        <v>6</v>
      </c>
      <c r="E7" s="4">
        <v>35</v>
      </c>
      <c r="F7" s="3" t="str">
        <f t="shared" ref="F7:F10" si="0">IF(E7&gt;40,"Pass","Fail")</f>
        <v>Fail</v>
      </c>
    </row>
    <row r="8" spans="3:14" ht="19.8" thickBot="1" x14ac:dyDescent="0.35">
      <c r="C8" s="3">
        <v>3</v>
      </c>
      <c r="D8" s="3" t="s">
        <v>7</v>
      </c>
      <c r="E8" s="3">
        <v>62</v>
      </c>
      <c r="F8" s="3" t="str">
        <f t="shared" si="0"/>
        <v>Pass</v>
      </c>
    </row>
    <row r="9" spans="3:14" ht="19.8" thickBot="1" x14ac:dyDescent="0.35">
      <c r="C9" s="4">
        <v>4</v>
      </c>
      <c r="D9" s="4" t="s">
        <v>8</v>
      </c>
      <c r="E9" s="4">
        <v>40</v>
      </c>
      <c r="F9" s="3" t="str">
        <f t="shared" si="0"/>
        <v>Fail</v>
      </c>
    </row>
    <row r="10" spans="3:14" ht="19.8" thickBot="1" x14ac:dyDescent="0.35">
      <c r="C10" s="3">
        <v>5</v>
      </c>
      <c r="D10" s="3" t="s">
        <v>9</v>
      </c>
      <c r="E10" s="3">
        <v>28</v>
      </c>
      <c r="F10" s="3" t="str">
        <f t="shared" si="0"/>
        <v>Fail</v>
      </c>
    </row>
  </sheetData>
  <mergeCells count="3">
    <mergeCell ref="D2:N2"/>
    <mergeCell ref="H5:J5"/>
    <mergeCell ref="H6:I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851B-211F-490D-B518-414510497BE0}">
  <dimension ref="C2:K8"/>
  <sheetViews>
    <sheetView workbookViewId="0">
      <selection activeCell="E5" sqref="E5"/>
    </sheetView>
  </sheetViews>
  <sheetFormatPr defaultRowHeight="14.4" x14ac:dyDescent="0.3"/>
  <cols>
    <col min="3" max="3" width="18.21875" customWidth="1"/>
    <col min="4" max="4" width="12.21875" customWidth="1"/>
    <col min="5" max="5" width="17.5546875" customWidth="1"/>
  </cols>
  <sheetData>
    <row r="2" spans="3:11" ht="28.8" x14ac:dyDescent="0.55000000000000004">
      <c r="E2" s="21" t="s">
        <v>12</v>
      </c>
      <c r="F2" s="20"/>
      <c r="G2" s="20"/>
      <c r="H2" s="20"/>
      <c r="I2" s="20"/>
      <c r="J2" s="20"/>
      <c r="K2" s="20"/>
    </row>
    <row r="3" spans="3:11" ht="15" thickBot="1" x14ac:dyDescent="0.35"/>
    <row r="4" spans="3:11" ht="16.2" thickBot="1" x14ac:dyDescent="0.35">
      <c r="C4" s="5" t="s">
        <v>13</v>
      </c>
      <c r="D4" s="5" t="s">
        <v>14</v>
      </c>
      <c r="E4" s="5" t="s">
        <v>15</v>
      </c>
    </row>
    <row r="5" spans="3:11" ht="16.2" thickBot="1" x14ac:dyDescent="0.35">
      <c r="C5" s="9" t="s">
        <v>16</v>
      </c>
      <c r="D5" s="9">
        <v>28000</v>
      </c>
      <c r="E5" s="9" t="str">
        <f>IF(D5&gt;40000,"Bonus","No Bouns")</f>
        <v>No Bouns</v>
      </c>
      <c r="G5" s="23" t="s">
        <v>20</v>
      </c>
      <c r="H5" s="23"/>
      <c r="I5" s="23"/>
      <c r="J5" s="23"/>
    </row>
    <row r="6" spans="3:11" ht="16.2" thickBot="1" x14ac:dyDescent="0.35">
      <c r="C6" s="10" t="s">
        <v>17</v>
      </c>
      <c r="D6" s="10">
        <v>45000</v>
      </c>
      <c r="E6" s="9" t="str">
        <f t="shared" ref="E6:E8" si="0">IF(D6&gt;40000,"Bonus","No Bouns")</f>
        <v>Bonus</v>
      </c>
      <c r="G6" s="23" t="s">
        <v>21</v>
      </c>
      <c r="H6" s="23"/>
      <c r="I6" s="23"/>
      <c r="J6" s="23"/>
    </row>
    <row r="7" spans="3:11" ht="16.2" thickBot="1" x14ac:dyDescent="0.35">
      <c r="C7" s="9" t="s">
        <v>18</v>
      </c>
      <c r="D7" s="9">
        <v>52000</v>
      </c>
      <c r="E7" s="9" t="str">
        <f t="shared" si="0"/>
        <v>Bonus</v>
      </c>
    </row>
    <row r="8" spans="3:11" ht="16.2" thickBot="1" x14ac:dyDescent="0.35">
      <c r="C8" s="10" t="s">
        <v>19</v>
      </c>
      <c r="D8" s="10">
        <v>30000</v>
      </c>
      <c r="E8" s="9" t="str">
        <f t="shared" si="0"/>
        <v>No Bouns</v>
      </c>
    </row>
  </sheetData>
  <mergeCells count="3">
    <mergeCell ref="E2:K2"/>
    <mergeCell ref="G5:J5"/>
    <mergeCell ref="G6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9472-8395-4997-B1CE-0B41DF4B6EE4}">
  <dimension ref="C2:N9"/>
  <sheetViews>
    <sheetView workbookViewId="0">
      <selection activeCell="E5" sqref="E5"/>
    </sheetView>
  </sheetViews>
  <sheetFormatPr defaultRowHeight="14.4" x14ac:dyDescent="0.3"/>
  <cols>
    <col min="3" max="3" width="18.77734375" customWidth="1"/>
    <col min="8" max="8" width="14.21875" customWidth="1"/>
  </cols>
  <sheetData>
    <row r="2" spans="3:14" ht="28.8" x14ac:dyDescent="0.55000000000000004">
      <c r="D2" s="19" t="s">
        <v>22</v>
      </c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3:14" ht="15" thickBot="1" x14ac:dyDescent="0.35"/>
    <row r="4" spans="3:14" ht="15.6" thickBot="1" x14ac:dyDescent="0.35">
      <c r="C4" s="6" t="s">
        <v>2</v>
      </c>
      <c r="D4" s="6" t="s">
        <v>3</v>
      </c>
      <c r="E4" s="6" t="s">
        <v>23</v>
      </c>
    </row>
    <row r="5" spans="3:14" ht="15.6" thickBot="1" x14ac:dyDescent="0.35">
      <c r="C5" s="7" t="s">
        <v>5</v>
      </c>
      <c r="D5" s="7">
        <v>82</v>
      </c>
      <c r="E5" s="7" t="str">
        <f>IF(D5&gt;=75,"A",IF(D5&gt;=60,"B",IF(D5&gt;=40,"C",IF(D5&lt;=40,"Fail"))))</f>
        <v>A</v>
      </c>
      <c r="H5" s="11" t="s">
        <v>24</v>
      </c>
    </row>
    <row r="6" spans="3:14" ht="15.6" thickBot="1" x14ac:dyDescent="0.35">
      <c r="C6" s="8" t="s">
        <v>6</v>
      </c>
      <c r="D6" s="8">
        <v>67</v>
      </c>
      <c r="E6" s="7" t="str">
        <f t="shared" ref="E6:E9" si="0">IF(D6&gt;75,"A",IF(D6&gt;60,"B",IF(D6&gt;40,"C",IF(D6&lt;40,"Fail"))))</f>
        <v>B</v>
      </c>
      <c r="H6" s="11" t="s">
        <v>25</v>
      </c>
    </row>
    <row r="7" spans="3:14" ht="15.6" thickBot="1" x14ac:dyDescent="0.35">
      <c r="C7" s="7" t="s">
        <v>7</v>
      </c>
      <c r="D7" s="7">
        <v>45</v>
      </c>
      <c r="E7" s="7" t="str">
        <f t="shared" si="0"/>
        <v>C</v>
      </c>
      <c r="H7" s="11" t="s">
        <v>26</v>
      </c>
    </row>
    <row r="8" spans="3:14" ht="15.6" thickBot="1" x14ac:dyDescent="0.35">
      <c r="C8" s="8" t="s">
        <v>8</v>
      </c>
      <c r="D8" s="8">
        <v>33</v>
      </c>
      <c r="E8" s="7" t="str">
        <f t="shared" si="0"/>
        <v>Fail</v>
      </c>
      <c r="H8" s="11" t="s">
        <v>27</v>
      </c>
    </row>
    <row r="9" spans="3:14" ht="15.6" thickBot="1" x14ac:dyDescent="0.35">
      <c r="C9" s="7" t="s">
        <v>9</v>
      </c>
      <c r="D9" s="7">
        <v>90</v>
      </c>
      <c r="E9" s="7" t="str">
        <f t="shared" si="0"/>
        <v>A</v>
      </c>
    </row>
  </sheetData>
  <mergeCells count="1">
    <mergeCell ref="D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6D45-6A2A-4559-BE3F-68465AB76DA1}">
  <dimension ref="C2:M9"/>
  <sheetViews>
    <sheetView workbookViewId="0">
      <selection activeCell="H18" sqref="H18"/>
    </sheetView>
  </sheetViews>
  <sheetFormatPr defaultRowHeight="14.4" x14ac:dyDescent="0.3"/>
  <cols>
    <col min="3" max="3" width="11.77734375" customWidth="1"/>
    <col min="5" max="5" width="20.6640625" customWidth="1"/>
    <col min="6" max="6" width="10.6640625" customWidth="1"/>
    <col min="8" max="8" width="39.109375" customWidth="1"/>
  </cols>
  <sheetData>
    <row r="2" spans="3:13" ht="28.8" x14ac:dyDescent="0.55000000000000004">
      <c r="E2" s="21" t="s">
        <v>28</v>
      </c>
      <c r="F2" s="20"/>
      <c r="G2" s="20"/>
      <c r="H2" s="20"/>
      <c r="I2" s="20"/>
      <c r="J2" s="20"/>
      <c r="K2" s="20"/>
      <c r="L2" s="20"/>
      <c r="M2" s="20"/>
    </row>
    <row r="3" spans="3:13" ht="15" thickBot="1" x14ac:dyDescent="0.35"/>
    <row r="4" spans="3:13" ht="15" thickBot="1" x14ac:dyDescent="0.35">
      <c r="C4" s="13" t="s">
        <v>29</v>
      </c>
      <c r="D4" s="13" t="s">
        <v>30</v>
      </c>
      <c r="E4" s="13" t="s">
        <v>31</v>
      </c>
      <c r="F4" s="13" t="s">
        <v>32</v>
      </c>
    </row>
    <row r="5" spans="3:13" ht="15.6" thickBot="1" x14ac:dyDescent="0.35">
      <c r="C5" s="17" t="s">
        <v>16</v>
      </c>
      <c r="D5" s="17">
        <v>25</v>
      </c>
      <c r="E5" s="17">
        <v>2</v>
      </c>
      <c r="F5" s="17" t="str">
        <f>IF(AND(D5&gt;21,E5&gt;=1),"Eligible","Not Eligible")</f>
        <v>Eligible</v>
      </c>
      <c r="H5" s="11" t="s">
        <v>33</v>
      </c>
    </row>
    <row r="6" spans="3:13" ht="15" thickBot="1" x14ac:dyDescent="0.35">
      <c r="C6" s="18" t="s">
        <v>17</v>
      </c>
      <c r="D6" s="18">
        <v>20</v>
      </c>
      <c r="E6" s="18">
        <v>1</v>
      </c>
      <c r="F6" s="17" t="str">
        <f t="shared" ref="F6:F8" si="0">IF(AND(D6&gt;21,E6&gt;=1),"Eligible","Not Eligible")</f>
        <v>Not Eligible</v>
      </c>
    </row>
    <row r="7" spans="3:13" ht="15" thickBot="1" x14ac:dyDescent="0.35">
      <c r="C7" s="17" t="s">
        <v>18</v>
      </c>
      <c r="D7" s="17">
        <v>30</v>
      </c>
      <c r="E7" s="17">
        <v>5</v>
      </c>
      <c r="F7" s="17" t="str">
        <f t="shared" si="0"/>
        <v>Eligible</v>
      </c>
    </row>
    <row r="8" spans="3:13" ht="15" thickBot="1" x14ac:dyDescent="0.35">
      <c r="C8" s="18" t="s">
        <v>19</v>
      </c>
      <c r="D8" s="18">
        <v>22</v>
      </c>
      <c r="E8" s="18">
        <v>0</v>
      </c>
      <c r="F8" s="17" t="str">
        <f t="shared" si="0"/>
        <v>Not Eligible</v>
      </c>
    </row>
    <row r="9" spans="3:13" ht="20.399999999999999" x14ac:dyDescent="0.3">
      <c r="C9" s="12"/>
    </row>
  </sheetData>
  <mergeCells count="1">
    <mergeCell ref="E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2D27-29CA-4AD4-A58E-34673B544890}">
  <dimension ref="C2:M8"/>
  <sheetViews>
    <sheetView zoomScale="83" workbookViewId="0">
      <selection activeCell="F6" sqref="F6"/>
    </sheetView>
  </sheetViews>
  <sheetFormatPr defaultRowHeight="14.4" x14ac:dyDescent="0.3"/>
  <cols>
    <col min="3" max="3" width="15.33203125" customWidth="1"/>
    <col min="4" max="4" width="17.109375" customWidth="1"/>
    <col min="5" max="5" width="24" customWidth="1"/>
    <col min="6" max="6" width="12.44140625" customWidth="1"/>
    <col min="8" max="8" width="45.5546875" customWidth="1"/>
  </cols>
  <sheetData>
    <row r="2" spans="3:13" ht="28.8" x14ac:dyDescent="0.55000000000000004">
      <c r="E2" s="19" t="s">
        <v>34</v>
      </c>
      <c r="F2" s="20"/>
      <c r="G2" s="20"/>
      <c r="H2" s="20"/>
      <c r="I2" s="20"/>
      <c r="J2" s="20"/>
      <c r="K2" s="20"/>
      <c r="L2" s="20"/>
      <c r="M2" s="20"/>
    </row>
    <row r="3" spans="3:13" ht="15" thickBot="1" x14ac:dyDescent="0.35"/>
    <row r="4" spans="3:13" ht="15.6" thickBot="1" x14ac:dyDescent="0.35">
      <c r="C4" s="14" t="s">
        <v>2</v>
      </c>
      <c r="D4" s="14" t="s">
        <v>35</v>
      </c>
      <c r="E4" s="14" t="s">
        <v>36</v>
      </c>
      <c r="F4" s="14" t="s">
        <v>32</v>
      </c>
      <c r="H4" s="11" t="s">
        <v>39</v>
      </c>
    </row>
    <row r="5" spans="3:13" ht="15" thickBot="1" x14ac:dyDescent="0.35">
      <c r="C5" s="15" t="s">
        <v>5</v>
      </c>
      <c r="D5" s="15">
        <v>85</v>
      </c>
      <c r="E5" s="15" t="s">
        <v>37</v>
      </c>
      <c r="F5" s="15" t="str">
        <f>IF(AND(D5&gt;=75,E5="Yes"),"Eligible","Not Eligible")</f>
        <v>Eligible</v>
      </c>
    </row>
    <row r="6" spans="3:13" ht="15" thickBot="1" x14ac:dyDescent="0.35">
      <c r="C6" s="16" t="s">
        <v>6</v>
      </c>
      <c r="D6" s="16">
        <v>72</v>
      </c>
      <c r="E6" s="16" t="s">
        <v>37</v>
      </c>
      <c r="F6" s="15" t="str">
        <f t="shared" ref="F6:F8" si="0">IF(AND(D6&gt;=75,E6="Yes"),"Eligible","Not Eligible")</f>
        <v>Not Eligible</v>
      </c>
    </row>
    <row r="7" spans="3:13" ht="15" thickBot="1" x14ac:dyDescent="0.35">
      <c r="C7" s="15" t="s">
        <v>7</v>
      </c>
      <c r="D7" s="15">
        <v>90</v>
      </c>
      <c r="E7" s="15" t="s">
        <v>38</v>
      </c>
      <c r="F7" s="15" t="str">
        <f t="shared" si="0"/>
        <v>Not Eligible</v>
      </c>
    </row>
    <row r="8" spans="3:13" ht="15" thickBot="1" x14ac:dyDescent="0.35">
      <c r="C8" s="16" t="s">
        <v>8</v>
      </c>
      <c r="D8" s="16">
        <v>80</v>
      </c>
      <c r="E8" s="16" t="s">
        <v>37</v>
      </c>
      <c r="F8" s="15" t="str">
        <f t="shared" si="0"/>
        <v>Eligible</v>
      </c>
    </row>
  </sheetData>
  <mergeCells count="1">
    <mergeCell ref="E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E947-1732-4F5D-AB86-9AE2372DD5FE}">
  <dimension ref="C2:M8"/>
  <sheetViews>
    <sheetView workbookViewId="0">
      <selection activeCell="F5" sqref="F5"/>
    </sheetView>
  </sheetViews>
  <sheetFormatPr defaultRowHeight="14.4" x14ac:dyDescent="0.3"/>
  <cols>
    <col min="3" max="3" width="16.21875" customWidth="1"/>
    <col min="4" max="4" width="15.77734375" customWidth="1"/>
    <col min="5" max="5" width="13.77734375" customWidth="1"/>
    <col min="6" max="6" width="12.21875" customWidth="1"/>
    <col min="8" max="8" width="47" customWidth="1"/>
  </cols>
  <sheetData>
    <row r="2" spans="3:13" ht="28.8" x14ac:dyDescent="0.55000000000000004">
      <c r="E2" s="19" t="s">
        <v>40</v>
      </c>
      <c r="F2" s="20"/>
      <c r="G2" s="20"/>
      <c r="H2" s="20"/>
      <c r="I2" s="20"/>
      <c r="J2" s="20"/>
      <c r="K2" s="20"/>
      <c r="L2" s="20"/>
      <c r="M2" s="20"/>
    </row>
    <row r="3" spans="3:13" ht="15" thickBot="1" x14ac:dyDescent="0.35"/>
    <row r="4" spans="3:13" ht="15" thickBot="1" x14ac:dyDescent="0.35">
      <c r="C4" s="14" t="s">
        <v>41</v>
      </c>
      <c r="D4" s="14" t="s">
        <v>42</v>
      </c>
      <c r="E4" s="14" t="s">
        <v>43</v>
      </c>
      <c r="F4" s="14" t="s">
        <v>44</v>
      </c>
    </row>
    <row r="5" spans="3:13" ht="15.6" thickBot="1" x14ac:dyDescent="0.35">
      <c r="C5" s="15" t="s">
        <v>45</v>
      </c>
      <c r="D5" s="15">
        <v>9000</v>
      </c>
      <c r="E5" s="15" t="s">
        <v>38</v>
      </c>
      <c r="F5" s="15" t="str">
        <f>IF(OR(D5&gt;=10000,E5="Yes"),"Discount","Not Discount")</f>
        <v>Not Discount</v>
      </c>
      <c r="H5" s="11" t="s">
        <v>48</v>
      </c>
    </row>
    <row r="6" spans="3:13" ht="15" thickBot="1" x14ac:dyDescent="0.35">
      <c r="C6" s="16" t="s">
        <v>46</v>
      </c>
      <c r="D6" s="16">
        <v>12000</v>
      </c>
      <c r="E6" s="16" t="s">
        <v>38</v>
      </c>
      <c r="F6" s="15" t="str">
        <f t="shared" ref="F6:F8" si="0">IF(OR(D6&gt;=10000,E6="Yes"),"Discount","Not Discount")</f>
        <v>Discount</v>
      </c>
    </row>
    <row r="7" spans="3:13" ht="15" thickBot="1" x14ac:dyDescent="0.35">
      <c r="C7" s="15" t="s">
        <v>7</v>
      </c>
      <c r="D7" s="15">
        <v>4000</v>
      </c>
      <c r="E7" s="15" t="s">
        <v>37</v>
      </c>
      <c r="F7" s="15" t="str">
        <f t="shared" si="0"/>
        <v>Discount</v>
      </c>
    </row>
    <row r="8" spans="3:13" ht="15" thickBot="1" x14ac:dyDescent="0.35">
      <c r="C8" s="16" t="s">
        <v>47</v>
      </c>
      <c r="D8" s="16">
        <v>3000</v>
      </c>
      <c r="E8" s="16" t="s">
        <v>38</v>
      </c>
      <c r="F8" s="15" t="str">
        <f t="shared" si="0"/>
        <v>Not Discount</v>
      </c>
    </row>
  </sheetData>
  <mergeCells count="1">
    <mergeCell ref="E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4A70-3DFB-4C12-85CF-97F1F27FFC0F}">
  <dimension ref="C2:I8"/>
  <sheetViews>
    <sheetView workbookViewId="0">
      <selection activeCell="F5" sqref="F5"/>
    </sheetView>
  </sheetViews>
  <sheetFormatPr defaultRowHeight="14.4" x14ac:dyDescent="0.3"/>
  <cols>
    <col min="3" max="3" width="13.77734375" customWidth="1"/>
    <col min="5" max="5" width="14.21875" customWidth="1"/>
    <col min="6" max="6" width="12.21875" customWidth="1"/>
    <col min="8" max="8" width="28.44140625" customWidth="1"/>
  </cols>
  <sheetData>
    <row r="2" spans="3:9" ht="28.8" x14ac:dyDescent="0.55000000000000004">
      <c r="D2" s="19" t="s">
        <v>53</v>
      </c>
      <c r="E2" s="20"/>
      <c r="F2" s="20"/>
      <c r="G2" s="20"/>
      <c r="H2" s="20"/>
      <c r="I2" s="20"/>
    </row>
    <row r="3" spans="3:9" ht="15" thickBot="1" x14ac:dyDescent="0.35"/>
    <row r="4" spans="3:9" ht="15" thickBot="1" x14ac:dyDescent="0.35">
      <c r="C4" s="14" t="s">
        <v>49</v>
      </c>
      <c r="D4" s="14" t="s">
        <v>14</v>
      </c>
      <c r="E4" s="14" t="s">
        <v>50</v>
      </c>
      <c r="F4" s="14" t="s">
        <v>51</v>
      </c>
    </row>
    <row r="5" spans="3:9" ht="15.6" thickBot="1" x14ac:dyDescent="0.35">
      <c r="C5" s="15" t="s">
        <v>16</v>
      </c>
      <c r="D5" s="15">
        <v>35000</v>
      </c>
      <c r="E5" s="15">
        <v>720</v>
      </c>
      <c r="F5" s="15" t="str">
        <f>IF(OR(D5&gt;=40000,E5&gt;=700),"Approved","Rejected")</f>
        <v>Approved</v>
      </c>
      <c r="H5" s="11" t="s">
        <v>52</v>
      </c>
    </row>
    <row r="6" spans="3:9" ht="15" thickBot="1" x14ac:dyDescent="0.35">
      <c r="C6" s="16" t="s">
        <v>17</v>
      </c>
      <c r="D6" s="16">
        <v>25000</v>
      </c>
      <c r="E6" s="16">
        <v>680</v>
      </c>
      <c r="F6" s="15" t="str">
        <f t="shared" ref="F6:F8" si="0">IF(OR(D6&gt;=40000,E6&gt;=700),"Approved","Rejected")</f>
        <v>Rejected</v>
      </c>
    </row>
    <row r="7" spans="3:9" ht="15" thickBot="1" x14ac:dyDescent="0.35">
      <c r="C7" s="15" t="s">
        <v>18</v>
      </c>
      <c r="D7" s="15">
        <v>50000</v>
      </c>
      <c r="E7" s="15">
        <v>650</v>
      </c>
      <c r="F7" s="15" t="str">
        <f t="shared" si="0"/>
        <v>Approved</v>
      </c>
    </row>
    <row r="8" spans="3:9" ht="15" thickBot="1" x14ac:dyDescent="0.35">
      <c r="C8" s="16" t="s">
        <v>19</v>
      </c>
      <c r="D8" s="16">
        <v>20000</v>
      </c>
      <c r="E8" s="16">
        <v>600</v>
      </c>
      <c r="F8" s="15" t="str">
        <f t="shared" si="0"/>
        <v>Rejected</v>
      </c>
    </row>
  </sheetData>
  <mergeCells count="1">
    <mergeCell ref="D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0A60-D317-466D-8F46-78E20F7B2A98}">
  <dimension ref="C2:J9"/>
  <sheetViews>
    <sheetView workbookViewId="0">
      <selection activeCell="E6" sqref="E6"/>
    </sheetView>
  </sheetViews>
  <sheetFormatPr defaultRowHeight="14.4" x14ac:dyDescent="0.3"/>
  <cols>
    <col min="7" max="7" width="25" customWidth="1"/>
  </cols>
  <sheetData>
    <row r="2" spans="3:10" ht="28.8" x14ac:dyDescent="0.55000000000000004">
      <c r="D2" s="19" t="s">
        <v>58</v>
      </c>
      <c r="E2" s="20"/>
      <c r="F2" s="20"/>
      <c r="G2" s="20"/>
      <c r="H2" s="20"/>
      <c r="I2" s="20"/>
      <c r="J2" s="20"/>
    </row>
    <row r="4" spans="3:10" ht="15" thickBot="1" x14ac:dyDescent="0.35"/>
    <row r="5" spans="3:10" ht="16.2" thickBot="1" x14ac:dyDescent="0.35">
      <c r="C5" s="5" t="s">
        <v>29</v>
      </c>
      <c r="D5" s="5" t="s">
        <v>54</v>
      </c>
      <c r="E5" s="5" t="s">
        <v>55</v>
      </c>
    </row>
    <row r="6" spans="3:10" ht="16.2" thickBot="1" x14ac:dyDescent="0.35">
      <c r="C6" s="9" t="s">
        <v>5</v>
      </c>
      <c r="D6" s="9" t="b">
        <v>1</v>
      </c>
      <c r="E6" s="9" t="str">
        <f>IF(NOT(D6),"Absent","Present")</f>
        <v>Present</v>
      </c>
      <c r="G6" s="11" t="s">
        <v>56</v>
      </c>
    </row>
    <row r="7" spans="3:10" ht="16.2" thickBot="1" x14ac:dyDescent="0.35">
      <c r="C7" s="10" t="s">
        <v>6</v>
      </c>
      <c r="D7" s="10" t="b">
        <v>0</v>
      </c>
      <c r="E7" s="9" t="str">
        <f t="shared" ref="E7:E9" si="0">IF(NOT(D7),"Absent","Present")</f>
        <v>Absent</v>
      </c>
      <c r="G7" s="11" t="s">
        <v>57</v>
      </c>
    </row>
    <row r="8" spans="3:10" ht="16.2" thickBot="1" x14ac:dyDescent="0.35">
      <c r="C8" s="9" t="s">
        <v>7</v>
      </c>
      <c r="D8" s="9" t="b">
        <v>1</v>
      </c>
      <c r="E8" s="9" t="str">
        <f t="shared" si="0"/>
        <v>Present</v>
      </c>
    </row>
    <row r="9" spans="3:10" ht="16.2" thickBot="1" x14ac:dyDescent="0.35">
      <c r="C9" s="10" t="s">
        <v>8</v>
      </c>
      <c r="D9" s="10" t="b">
        <v>0</v>
      </c>
      <c r="E9" s="9" t="str">
        <f t="shared" si="0"/>
        <v>Absent</v>
      </c>
    </row>
  </sheetData>
  <mergeCells count="1">
    <mergeCell ref="D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A639-3542-4EBD-9D3B-FFC6F1A5567A}">
  <dimension ref="C2:G8"/>
  <sheetViews>
    <sheetView workbookViewId="0">
      <selection activeCell="E5" sqref="E5"/>
    </sheetView>
  </sheetViews>
  <sheetFormatPr defaultRowHeight="14.4" x14ac:dyDescent="0.3"/>
  <cols>
    <col min="3" max="3" width="16.6640625" customWidth="1"/>
    <col min="4" max="4" width="15.109375" customWidth="1"/>
    <col min="7" max="7" width="28.5546875" customWidth="1"/>
  </cols>
  <sheetData>
    <row r="2" spans="3:7" ht="28.8" x14ac:dyDescent="0.55000000000000004">
      <c r="C2" s="19" t="s">
        <v>73</v>
      </c>
      <c r="D2" s="20"/>
      <c r="E2" s="20"/>
      <c r="F2" s="20"/>
      <c r="G2" s="20"/>
    </row>
    <row r="3" spans="3:7" ht="15" thickBot="1" x14ac:dyDescent="0.35"/>
    <row r="4" spans="3:7" ht="16.2" thickBot="1" x14ac:dyDescent="0.35">
      <c r="C4" s="5" t="s">
        <v>59</v>
      </c>
      <c r="D4" s="5" t="s">
        <v>60</v>
      </c>
      <c r="E4" s="5" t="s">
        <v>4</v>
      </c>
    </row>
    <row r="5" spans="3:7" ht="16.2" thickBot="1" x14ac:dyDescent="0.35">
      <c r="C5" s="9">
        <v>10</v>
      </c>
      <c r="D5" s="9">
        <v>2</v>
      </c>
      <c r="E5" s="9">
        <f>IFERROR(C5/D5,"invaild")</f>
        <v>5</v>
      </c>
      <c r="G5" s="11" t="s">
        <v>61</v>
      </c>
    </row>
    <row r="6" spans="3:7" ht="16.2" thickBot="1" x14ac:dyDescent="0.35">
      <c r="C6" s="10">
        <v>15</v>
      </c>
      <c r="D6" s="10">
        <v>0</v>
      </c>
      <c r="E6" s="9" t="str">
        <f t="shared" ref="E6:E8" si="0">IFERROR(C6/D6,"invaild")</f>
        <v>invaild</v>
      </c>
      <c r="G6" s="11" t="s">
        <v>62</v>
      </c>
    </row>
    <row r="7" spans="3:7" ht="16.2" thickBot="1" x14ac:dyDescent="0.35">
      <c r="C7" s="9">
        <v>20</v>
      </c>
      <c r="D7" s="9">
        <v>5</v>
      </c>
      <c r="E7" s="9">
        <f t="shared" si="0"/>
        <v>4</v>
      </c>
    </row>
    <row r="8" spans="3:7" ht="16.2" thickBot="1" x14ac:dyDescent="0.35">
      <c r="C8" s="10">
        <v>8</v>
      </c>
      <c r="D8" s="10">
        <v>0</v>
      </c>
      <c r="E8" s="9" t="str">
        <f t="shared" si="0"/>
        <v>invaild</v>
      </c>
    </row>
  </sheetData>
  <mergeCells count="1">
    <mergeCell ref="C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BE41-C2A0-4469-BB47-70137D60A46E}">
  <dimension ref="C2:H9"/>
  <sheetViews>
    <sheetView tabSelected="1" workbookViewId="0">
      <selection activeCell="H6" sqref="H6"/>
    </sheetView>
  </sheetViews>
  <sheetFormatPr defaultRowHeight="14.4" x14ac:dyDescent="0.3"/>
  <cols>
    <col min="3" max="3" width="15.44140625" customWidth="1"/>
    <col min="4" max="4" width="15.6640625" customWidth="1"/>
    <col min="5" max="5" width="14.109375" customWidth="1"/>
    <col min="6" max="6" width="17.88671875" customWidth="1"/>
    <col min="8" max="8" width="42.44140625" customWidth="1"/>
  </cols>
  <sheetData>
    <row r="2" spans="3:8" ht="28.8" x14ac:dyDescent="0.55000000000000004">
      <c r="D2" s="19" t="s">
        <v>72</v>
      </c>
      <c r="E2" s="20"/>
      <c r="F2" s="20"/>
      <c r="G2" s="20"/>
      <c r="H2" s="20"/>
    </row>
    <row r="4" spans="3:8" ht="15" thickBot="1" x14ac:dyDescent="0.35"/>
    <row r="5" spans="3:8" ht="15" thickBot="1" x14ac:dyDescent="0.35">
      <c r="C5" s="14" t="s">
        <v>13</v>
      </c>
      <c r="D5" s="14" t="s">
        <v>63</v>
      </c>
      <c r="E5" s="14" t="s">
        <v>35</v>
      </c>
      <c r="F5" s="14" t="s">
        <v>64</v>
      </c>
    </row>
    <row r="6" spans="3:8" ht="15.6" thickBot="1" x14ac:dyDescent="0.35">
      <c r="C6" s="15" t="s">
        <v>65</v>
      </c>
      <c r="D6" s="15">
        <v>45</v>
      </c>
      <c r="E6" s="15">
        <v>92</v>
      </c>
      <c r="F6" s="15" t="str">
        <f>IF(AND(E6&gt;=90,D6&gt;=40),"Excellent",IF(E6&gt;=80,"Good","Needs improvement"))</f>
        <v>Excellent</v>
      </c>
      <c r="H6" s="11" t="s">
        <v>69</v>
      </c>
    </row>
    <row r="7" spans="3:8" ht="15.6" thickBot="1" x14ac:dyDescent="0.35">
      <c r="C7" s="16" t="s">
        <v>66</v>
      </c>
      <c r="D7" s="16">
        <v>38</v>
      </c>
      <c r="E7" s="16">
        <v>85</v>
      </c>
      <c r="F7" s="15" t="str">
        <f t="shared" ref="F7:F9" si="0">IF(AND(E7&gt;=90,D7&gt;=40),"Excellent",IF(E7&gt;=80,"Good","Needs improvement"))</f>
        <v>Good</v>
      </c>
      <c r="H7" s="11" t="s">
        <v>70</v>
      </c>
    </row>
    <row r="8" spans="3:8" ht="15.6" thickBot="1" x14ac:dyDescent="0.35">
      <c r="C8" s="15" t="s">
        <v>67</v>
      </c>
      <c r="D8" s="15">
        <v>50</v>
      </c>
      <c r="E8" s="15">
        <v>95</v>
      </c>
      <c r="F8" s="15" t="str">
        <f t="shared" si="0"/>
        <v>Excellent</v>
      </c>
      <c r="H8" s="11" t="s">
        <v>71</v>
      </c>
    </row>
    <row r="9" spans="3:8" ht="15" thickBot="1" x14ac:dyDescent="0.35">
      <c r="C9" s="16" t="s">
        <v>68</v>
      </c>
      <c r="D9" s="16">
        <v>30</v>
      </c>
      <c r="E9" s="16">
        <v>70</v>
      </c>
      <c r="F9" s="15" t="str">
        <f t="shared" si="0"/>
        <v>Needs improvement</v>
      </c>
    </row>
  </sheetData>
  <mergeCells count="1">
    <mergeCell ref="D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Task1</vt:lpstr>
      <vt:lpstr>Task2</vt:lpstr>
      <vt:lpstr>Task3</vt:lpstr>
      <vt:lpstr>Task4</vt:lpstr>
      <vt:lpstr>Task5</vt:lpstr>
      <vt:lpstr>Task6</vt:lpstr>
      <vt:lpstr>Task7</vt:lpstr>
      <vt:lpstr>Task8</vt:lpstr>
      <vt:lpstr>Task9</vt:lpstr>
      <vt:lpstr>Task10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Patel Priyanshi</cp:lastModifiedBy>
  <dcterms:created xsi:type="dcterms:W3CDTF">2026-06-24T08:46:17Z</dcterms:created>
  <dcterms:modified xsi:type="dcterms:W3CDTF">2026-07-22T16:57:59Z</dcterms:modified>
</cp:coreProperties>
</file>